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OneDrive\Desktop\Data-Analytics-Portfolio\03_ASX_Folio_Tracker\"/>
    </mc:Choice>
  </mc:AlternateContent>
  <xr:revisionPtr revIDLastSave="0" documentId="13_ncr:1_{24452A4B-5798-4D04-A0FB-313213F5FD41}" xr6:coauthVersionLast="47" xr6:coauthVersionMax="47" xr10:uidLastSave="{00000000-0000-0000-0000-000000000000}"/>
  <bookViews>
    <workbookView xWindow="-108" yWindow="-108" windowWidth="23256" windowHeight="12456" activeTab="2" xr2:uid="{6EBFB865-8FC2-47D3-96CC-0652BA8CE62C}"/>
  </bookViews>
  <sheets>
    <sheet name="Raw Data" sheetId="4" r:id="rId1"/>
    <sheet name="Price Table" sheetId="3" r:id="rId2"/>
    <sheet name="Dim_Calendar" sheetId="7" r:id="rId3"/>
    <sheet name="Fact Dividends" sheetId="5" r:id="rId4"/>
    <sheet name="Fact Trades" sheetId="2" r:id="rId5"/>
  </sheets>
  <definedNames>
    <definedName name="ExternalData_1" localSheetId="2" hidden="1">Dim_Calendar!$A$1:$E$731</definedName>
    <definedName name="ExternalData_1" localSheetId="1" hidden="1">'Price Table'!$A$1:$B$11</definedName>
    <definedName name="ExternalData_2" localSheetId="0" hidden="1">'Raw Data'!$A$1:$D$161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2" i="2" a="1"/>
  <c r="G2" i="2" s="1"/>
  <c r="F2" i="2" a="1"/>
  <c r="F2" i="2" s="1"/>
  <c r="F3" i="2" a="1"/>
  <c r="F3" i="2" s="1"/>
  <c r="H3" i="2" s="1"/>
  <c r="I3" i="2" s="1" a="1"/>
  <c r="I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H9" i="2" s="1"/>
  <c r="I9" i="2" s="1" a="1"/>
  <c r="I9" i="2" s="1"/>
  <c r="F10" i="2" a="1"/>
  <c r="F10" i="2" s="1"/>
  <c r="F11" i="2" a="1"/>
  <c r="F11" i="2" s="1"/>
  <c r="H11" i="2" s="1"/>
  <c r="I11" i="2" s="1" a="1"/>
  <c r="I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H17" i="2" s="1"/>
  <c r="I17" i="2" s="1" a="1"/>
  <c r="I17" i="2" s="1"/>
  <c r="F18" i="2" a="1"/>
  <c r="F18" i="2" s="1"/>
  <c r="F19" i="2" a="1"/>
  <c r="F19" i="2" s="1"/>
  <c r="H19" i="2" s="1"/>
  <c r="I19" i="2" s="1" a="1"/>
  <c r="I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H25" i="2" s="1"/>
  <c r="I25" i="2" s="1" a="1"/>
  <c r="I25" i="2" s="1"/>
  <c r="F26" i="2" a="1"/>
  <c r="F26" i="2" s="1"/>
  <c r="F27" i="2" a="1"/>
  <c r="F27" i="2" s="1"/>
  <c r="H27" i="2" s="1"/>
  <c r="I27" i="2" s="1" a="1"/>
  <c r="I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H33" i="2" s="1"/>
  <c r="I33" i="2" s="1" a="1"/>
  <c r="I33" i="2" s="1"/>
  <c r="F34" i="2" a="1"/>
  <c r="F34" i="2" s="1"/>
  <c r="F35" i="2" a="1"/>
  <c r="F35" i="2" s="1"/>
  <c r="H35" i="2" s="1"/>
  <c r="I35" i="2" s="1" a="1"/>
  <c r="I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H41" i="2" s="1"/>
  <c r="I41" i="2" s="1" a="1"/>
  <c r="I41" i="2" s="1"/>
  <c r="F42" i="2" a="1"/>
  <c r="F42" i="2" s="1"/>
  <c r="F43" i="2" a="1"/>
  <c r="F43" i="2" s="1"/>
  <c r="H43" i="2" s="1"/>
  <c r="I43" i="2" s="1" a="1"/>
  <c r="I43" i="2" s="1"/>
  <c r="F44" i="2" a="1"/>
  <c r="F44" i="2" s="1"/>
  <c r="F45" i="2" a="1"/>
  <c r="F45" i="2" s="1"/>
  <c r="F46" i="2" a="1"/>
  <c r="F46" i="2" s="1"/>
  <c r="F47" i="2" a="1"/>
  <c r="F47" i="2" s="1"/>
  <c r="H47" i="2" s="1"/>
  <c r="I47" i="2" s="1" a="1"/>
  <c r="I47" i="2" s="1"/>
  <c r="F48" i="2" a="1"/>
  <c r="F48" i="2" s="1"/>
  <c r="F49" i="2" a="1"/>
  <c r="F49" i="2" s="1"/>
  <c r="H49" i="2" s="1"/>
  <c r="I49" i="2" s="1" a="1"/>
  <c r="I49" i="2" s="1"/>
  <c r="F50" i="2" a="1"/>
  <c r="F50" i="2" s="1"/>
  <c r="F51" i="2" a="1"/>
  <c r="F51" i="2" s="1"/>
  <c r="H51" i="2" s="1"/>
  <c r="I51" i="2" s="1" a="1"/>
  <c r="I51" i="2" s="1"/>
  <c r="F52" i="2" a="1"/>
  <c r="F52" i="2" s="1"/>
  <c r="F53" i="2" a="1"/>
  <c r="F53" i="2" s="1"/>
  <c r="F54" i="2" a="1"/>
  <c r="F54" i="2" s="1"/>
  <c r="F55" i="2" a="1"/>
  <c r="F55" i="2" s="1"/>
  <c r="H55" i="2" s="1"/>
  <c r="I55" i="2" s="1" a="1"/>
  <c r="I55" i="2" s="1"/>
  <c r="F56" i="2" a="1"/>
  <c r="F56" i="2" s="1"/>
  <c r="F57" i="2" a="1"/>
  <c r="F57" i="2" s="1"/>
  <c r="H57" i="2" s="1"/>
  <c r="I57" i="2" s="1" a="1"/>
  <c r="I57" i="2" s="1"/>
  <c r="F58" i="2" a="1"/>
  <c r="F58" i="2" s="1"/>
  <c r="F59" i="2" a="1"/>
  <c r="F59" i="2" s="1"/>
  <c r="H59" i="2" s="1"/>
  <c r="I59" i="2" s="1" a="1"/>
  <c r="I59" i="2" s="1"/>
  <c r="F60" i="2" a="1"/>
  <c r="F60" i="2" s="1"/>
  <c r="F61" i="2" a="1"/>
  <c r="F61" i="2" s="1"/>
  <c r="F62" i="2" a="1"/>
  <c r="F62" i="2" s="1"/>
  <c r="F63" i="2" a="1"/>
  <c r="F63" i="2" s="1"/>
  <c r="H63" i="2" s="1"/>
  <c r="I63" i="2" s="1" a="1"/>
  <c r="I63" i="2" s="1"/>
  <c r="F64" i="2" a="1"/>
  <c r="F64" i="2" s="1"/>
  <c r="F65" i="2" a="1"/>
  <c r="F65" i="2" s="1"/>
  <c r="H65" i="2" s="1"/>
  <c r="I65" i="2" s="1" a="1"/>
  <c r="I65" i="2" s="1"/>
  <c r="F66" i="2" a="1"/>
  <c r="F66" i="2" s="1"/>
  <c r="F67" i="2" a="1"/>
  <c r="F67" i="2" s="1"/>
  <c r="H67" i="2" s="1"/>
  <c r="I67" i="2" s="1" a="1"/>
  <c r="I67" i="2" s="1"/>
  <c r="F68" i="2" a="1"/>
  <c r="F68" i="2" s="1"/>
  <c r="F69" i="2" a="1"/>
  <c r="F69" i="2" s="1"/>
  <c r="F70" i="2" a="1"/>
  <c r="F70" i="2" s="1"/>
  <c r="F71" i="2" a="1"/>
  <c r="F71" i="2" s="1"/>
  <c r="H71" i="2" s="1"/>
  <c r="I71" i="2" s="1" a="1"/>
  <c r="I71" i="2" s="1"/>
  <c r="F72" i="2" a="1"/>
  <c r="F72" i="2" s="1"/>
  <c r="F73" i="2" a="1"/>
  <c r="F73" i="2" s="1"/>
  <c r="H73" i="2" s="1"/>
  <c r="I73" i="2" s="1" a="1"/>
  <c r="I73" i="2" s="1"/>
  <c r="F74" i="2" a="1"/>
  <c r="F74" i="2" s="1"/>
  <c r="F75" i="2" a="1"/>
  <c r="F75" i="2" s="1"/>
  <c r="H75" i="2" s="1"/>
  <c r="I75" i="2" s="1" a="1"/>
  <c r="I75" i="2" s="1"/>
  <c r="F76" i="2" a="1"/>
  <c r="F76" i="2" s="1"/>
  <c r="F77" i="2" a="1"/>
  <c r="F77" i="2" s="1"/>
  <c r="F78" i="2" a="1"/>
  <c r="F78" i="2" s="1"/>
  <c r="F79" i="2" a="1"/>
  <c r="F79" i="2" s="1"/>
  <c r="H79" i="2" s="1"/>
  <c r="I79" i="2" s="1" a="1"/>
  <c r="I79" i="2" s="1"/>
  <c r="F80" i="2" a="1"/>
  <c r="F80" i="2" s="1"/>
  <c r="F81" i="2" a="1"/>
  <c r="F81" i="2" s="1"/>
  <c r="H81" i="2" s="1"/>
  <c r="I81" i="2" s="1" a="1"/>
  <c r="I81" i="2" s="1"/>
  <c r="F82" i="2" a="1"/>
  <c r="F82" i="2" s="1"/>
  <c r="F83" i="2" a="1"/>
  <c r="F83" i="2" s="1"/>
  <c r="H83" i="2" s="1"/>
  <c r="I83" i="2" s="1" a="1"/>
  <c r="I83" i="2" s="1"/>
  <c r="F84" i="2" a="1"/>
  <c r="F84" i="2" s="1"/>
  <c r="F85" i="2" a="1"/>
  <c r="F85" i="2" s="1"/>
  <c r="F86" i="2" a="1"/>
  <c r="F86" i="2" s="1"/>
  <c r="F87" i="2" a="1"/>
  <c r="F87" i="2" s="1"/>
  <c r="H87" i="2" s="1"/>
  <c r="I87" i="2" s="1" a="1"/>
  <c r="I87" i="2" s="1"/>
  <c r="F88" i="2" a="1"/>
  <c r="F88" i="2" s="1"/>
  <c r="F89" i="2" a="1"/>
  <c r="F89" i="2" s="1"/>
  <c r="H89" i="2" s="1"/>
  <c r="I89" i="2" s="1" a="1"/>
  <c r="I89" i="2" s="1"/>
  <c r="F90" i="2" a="1"/>
  <c r="F90" i="2" s="1"/>
  <c r="F91" i="2" a="1"/>
  <c r="F91" i="2" s="1"/>
  <c r="H91" i="2" s="1"/>
  <c r="I91" i="2" s="1" a="1"/>
  <c r="I91" i="2" s="1"/>
  <c r="F92" i="2" a="1"/>
  <c r="F92" i="2" s="1"/>
  <c r="F93" i="2" a="1"/>
  <c r="F93" i="2" s="1"/>
  <c r="F94" i="2" a="1"/>
  <c r="F94" i="2" s="1"/>
  <c r="F95" i="2" a="1"/>
  <c r="F95" i="2" s="1"/>
  <c r="H95" i="2" s="1"/>
  <c r="I95" i="2" s="1" a="1"/>
  <c r="I95" i="2" s="1"/>
  <c r="F96" i="2" a="1"/>
  <c r="F96" i="2" s="1"/>
  <c r="F97" i="2" a="1"/>
  <c r="F97" i="2" s="1"/>
  <c r="H97" i="2" s="1"/>
  <c r="I97" i="2" s="1" a="1"/>
  <c r="I97" i="2" s="1"/>
  <c r="F98" i="2" a="1"/>
  <c r="F98" i="2" s="1"/>
  <c r="F99" i="2" a="1"/>
  <c r="F99" i="2" s="1"/>
  <c r="H99" i="2" s="1"/>
  <c r="I99" i="2" s="1" a="1"/>
  <c r="I99" i="2" s="1"/>
  <c r="F100" i="2" a="1"/>
  <c r="F100" i="2" s="1"/>
  <c r="F101" i="2" a="1"/>
  <c r="F101" i="2" s="1"/>
  <c r="F102" i="2" a="1"/>
  <c r="F102" i="2" s="1"/>
  <c r="F103" i="2" a="1"/>
  <c r="F103" i="2" s="1"/>
  <c r="H103" i="2" s="1"/>
  <c r="I103" i="2" s="1" a="1"/>
  <c r="I103" i="2" s="1"/>
  <c r="F104" i="2" a="1"/>
  <c r="F104" i="2" s="1"/>
  <c r="F105" i="2" a="1"/>
  <c r="F105" i="2" s="1"/>
  <c r="H105" i="2" s="1"/>
  <c r="I105" i="2" s="1" a="1"/>
  <c r="I105" i="2" s="1"/>
  <c r="F106" i="2" a="1"/>
  <c r="F106" i="2" s="1"/>
  <c r="F107" i="2" a="1"/>
  <c r="F107" i="2" s="1"/>
  <c r="H107" i="2" s="1"/>
  <c r="I107" i="2" s="1" a="1"/>
  <c r="I107" i="2" s="1"/>
  <c r="F108" i="2" a="1"/>
  <c r="F108" i="2" s="1"/>
  <c r="F109" i="2" a="1"/>
  <c r="F109" i="2" s="1"/>
  <c r="F110" i="2" a="1"/>
  <c r="F110" i="2" s="1"/>
  <c r="F111" i="2" a="1"/>
  <c r="F111" i="2" s="1"/>
  <c r="H111" i="2" s="1"/>
  <c r="I111" i="2" s="1" a="1"/>
  <c r="I111" i="2" s="1"/>
  <c r="F112" i="2" a="1"/>
  <c r="F112" i="2" s="1"/>
  <c r="F113" i="2" a="1"/>
  <c r="F113" i="2" s="1"/>
  <c r="H113" i="2" s="1"/>
  <c r="I113" i="2" s="1" a="1"/>
  <c r="I113" i="2" s="1"/>
  <c r="F114" i="2" a="1"/>
  <c r="F114" i="2" s="1"/>
  <c r="F115" i="2" a="1"/>
  <c r="F115" i="2" s="1"/>
  <c r="H115" i="2" s="1"/>
  <c r="I115" i="2" s="1" a="1"/>
  <c r="I115" i="2" s="1"/>
  <c r="F116" i="2" a="1"/>
  <c r="F116" i="2" s="1"/>
  <c r="F117" i="2" a="1"/>
  <c r="F117" i="2" s="1"/>
  <c r="F118" i="2" a="1"/>
  <c r="F118" i="2" s="1"/>
  <c r="F119" i="2" a="1"/>
  <c r="F119" i="2" s="1"/>
  <c r="H119" i="2" s="1"/>
  <c r="I119" i="2" s="1" a="1"/>
  <c r="I119" i="2" s="1"/>
  <c r="F120" i="2" a="1"/>
  <c r="F120" i="2" s="1"/>
  <c r="F121" i="2" a="1"/>
  <c r="F121" i="2" s="1"/>
  <c r="H121" i="2" s="1"/>
  <c r="I121" i="2" s="1" a="1"/>
  <c r="I121" i="2" s="1"/>
  <c r="F122" i="2" a="1"/>
  <c r="F122" i="2" s="1"/>
  <c r="F123" i="2" a="1"/>
  <c r="F123" i="2" s="1"/>
  <c r="H123" i="2" s="1"/>
  <c r="I123" i="2" s="1" a="1"/>
  <c r="I123" i="2" s="1"/>
  <c r="F124" i="2" a="1"/>
  <c r="F124" i="2" s="1"/>
  <c r="F125" i="2" a="1"/>
  <c r="F125" i="2" s="1"/>
  <c r="F126" i="2" a="1"/>
  <c r="F126" i="2" s="1"/>
  <c r="F127" i="2" a="1"/>
  <c r="F127" i="2" s="1"/>
  <c r="H127" i="2" s="1"/>
  <c r="I127" i="2" s="1" a="1"/>
  <c r="I127" i="2" s="1"/>
  <c r="F128" i="2" a="1"/>
  <c r="F128" i="2" s="1"/>
  <c r="F129" i="2" a="1"/>
  <c r="F129" i="2" s="1"/>
  <c r="H129" i="2" s="1"/>
  <c r="I129" i="2" s="1" a="1"/>
  <c r="I129" i="2" s="1"/>
  <c r="F130" i="2" a="1"/>
  <c r="F130" i="2" s="1"/>
  <c r="F131" i="2" a="1"/>
  <c r="F131" i="2" s="1"/>
  <c r="H131" i="2" s="1"/>
  <c r="I131" i="2" s="1" a="1"/>
  <c r="I131" i="2" s="1"/>
  <c r="F132" i="2" a="1"/>
  <c r="F132" i="2" s="1"/>
  <c r="F133" i="2" a="1"/>
  <c r="F133" i="2" s="1"/>
  <c r="F134" i="2" a="1"/>
  <c r="F134" i="2" s="1"/>
  <c r="F135" i="2" a="1"/>
  <c r="F135" i="2" s="1"/>
  <c r="H135" i="2" s="1"/>
  <c r="I135" i="2" s="1" a="1"/>
  <c r="I135" i="2" s="1"/>
  <c r="F136" i="2" a="1"/>
  <c r="F136" i="2" s="1"/>
  <c r="F137" i="2" a="1"/>
  <c r="F137" i="2" s="1"/>
  <c r="H137" i="2" s="1"/>
  <c r="I137" i="2" s="1" a="1"/>
  <c r="I137" i="2" s="1"/>
  <c r="F138" i="2" a="1"/>
  <c r="F138" i="2" s="1"/>
  <c r="F139" i="2" a="1"/>
  <c r="F139" i="2" s="1"/>
  <c r="H139" i="2" s="1"/>
  <c r="I139" i="2" s="1" a="1"/>
  <c r="I139" i="2" s="1"/>
  <c r="F140" i="2" a="1"/>
  <c r="F140" i="2" s="1"/>
  <c r="F141" i="2" a="1"/>
  <c r="F141" i="2" s="1"/>
  <c r="F142" i="2" a="1"/>
  <c r="F142" i="2" s="1"/>
  <c r="F143" i="2" a="1"/>
  <c r="F143" i="2" s="1"/>
  <c r="H143" i="2" s="1"/>
  <c r="I143" i="2" s="1" a="1"/>
  <c r="I143" i="2" s="1"/>
  <c r="F144" i="2" a="1"/>
  <c r="F144" i="2" s="1"/>
  <c r="F145" i="2" a="1"/>
  <c r="F145" i="2" s="1"/>
  <c r="H145" i="2" s="1"/>
  <c r="I145" i="2" s="1" a="1"/>
  <c r="I145" i="2" s="1"/>
  <c r="F146" i="2" a="1"/>
  <c r="F146" i="2" s="1"/>
  <c r="F147" i="2" a="1"/>
  <c r="F147" i="2" s="1"/>
  <c r="H147" i="2" s="1"/>
  <c r="I147" i="2" s="1" a="1"/>
  <c r="I147" i="2" s="1"/>
  <c r="F148" i="2" a="1"/>
  <c r="F148" i="2" s="1"/>
  <c r="F149" i="2" a="1"/>
  <c r="F149" i="2" s="1"/>
  <c r="F150" i="2" a="1"/>
  <c r="F150" i="2" s="1"/>
  <c r="F151" i="2" a="1"/>
  <c r="F151" i="2" s="1"/>
  <c r="H151" i="2" s="1"/>
  <c r="I151" i="2" s="1" a="1"/>
  <c r="I151" i="2" s="1"/>
  <c r="F152" i="2" a="1"/>
  <c r="F152" i="2" s="1"/>
  <c r="F153" i="2" a="1"/>
  <c r="F153" i="2" s="1"/>
  <c r="H153" i="2" s="1"/>
  <c r="I153" i="2" s="1" a="1"/>
  <c r="I153" i="2" s="1"/>
  <c r="F154" i="2" a="1"/>
  <c r="F154" i="2" s="1"/>
  <c r="F155" i="2" a="1"/>
  <c r="F155" i="2" s="1"/>
  <c r="H155" i="2" s="1"/>
  <c r="I155" i="2" s="1" a="1"/>
  <c r="I155" i="2" s="1"/>
  <c r="F156" i="2" a="1"/>
  <c r="F156" i="2" s="1"/>
  <c r="F157" i="2" a="1"/>
  <c r="F157" i="2" s="1"/>
  <c r="F158" i="2" a="1"/>
  <c r="F158" i="2" s="1"/>
  <c r="F159" i="2" a="1"/>
  <c r="F159" i="2" s="1"/>
  <c r="H159" i="2" s="1"/>
  <c r="I159" i="2" s="1" a="1"/>
  <c r="I159" i="2" s="1"/>
  <c r="F160" i="2" a="1"/>
  <c r="F160" i="2" s="1"/>
  <c r="F161" i="2" a="1"/>
  <c r="F161" i="2" s="1"/>
  <c r="H161" i="2" s="1"/>
  <c r="I161" i="2" s="1" a="1"/>
  <c r="I161" i="2" s="1"/>
  <c r="H162" i="2"/>
  <c r="I162" i="2" s="1" a="1"/>
  <c r="I162" i="2" s="1"/>
  <c r="H163" i="2"/>
  <c r="I163" i="2" s="1" a="1"/>
  <c r="I163" i="2" s="1"/>
  <c r="H164" i="2"/>
  <c r="I164" i="2" s="1" a="1"/>
  <c r="I164" i="2" s="1"/>
  <c r="H165" i="2"/>
  <c r="I165" i="2" s="1" a="1"/>
  <c r="I165" i="2" s="1"/>
  <c r="H166" i="2"/>
  <c r="I166" i="2" s="1" a="1"/>
  <c r="I166" i="2" s="1"/>
  <c r="H167" i="2"/>
  <c r="I167" i="2" s="1" a="1"/>
  <c r="I167" i="2" s="1"/>
  <c r="H168" i="2"/>
  <c r="I168" i="2" s="1" a="1"/>
  <c r="I168" i="2" s="1"/>
  <c r="H169" i="2"/>
  <c r="I169" i="2" s="1" a="1"/>
  <c r="I169" i="2" s="1"/>
  <c r="H154" i="2" l="1"/>
  <c r="I154" i="2" s="1" a="1"/>
  <c r="I154" i="2" s="1"/>
  <c r="H146" i="2"/>
  <c r="I146" i="2" s="1" a="1"/>
  <c r="I146" i="2" s="1"/>
  <c r="H138" i="2"/>
  <c r="I138" i="2" s="1" a="1"/>
  <c r="I138" i="2" s="1"/>
  <c r="H130" i="2"/>
  <c r="I130" i="2" s="1" a="1"/>
  <c r="I130" i="2" s="1"/>
  <c r="H122" i="2"/>
  <c r="I122" i="2" s="1" a="1"/>
  <c r="I122" i="2" s="1"/>
  <c r="H114" i="2"/>
  <c r="I114" i="2" s="1" a="1"/>
  <c r="I114" i="2" s="1"/>
  <c r="H106" i="2"/>
  <c r="I106" i="2" s="1" a="1"/>
  <c r="I106" i="2" s="1"/>
  <c r="H98" i="2"/>
  <c r="I98" i="2" s="1" a="1"/>
  <c r="I98" i="2" s="1"/>
  <c r="H90" i="2"/>
  <c r="I90" i="2" s="1" a="1"/>
  <c r="I90" i="2" s="1"/>
  <c r="H82" i="2"/>
  <c r="I82" i="2" s="1" a="1"/>
  <c r="I82" i="2" s="1"/>
  <c r="H74" i="2"/>
  <c r="I74" i="2" s="1" a="1"/>
  <c r="I74" i="2" s="1"/>
  <c r="H66" i="2"/>
  <c r="I66" i="2" s="1" a="1"/>
  <c r="I66" i="2" s="1"/>
  <c r="H58" i="2"/>
  <c r="I58" i="2" s="1" a="1"/>
  <c r="I58" i="2" s="1"/>
  <c r="H50" i="2"/>
  <c r="I50" i="2" s="1" a="1"/>
  <c r="I50" i="2" s="1"/>
  <c r="H42" i="2"/>
  <c r="I42" i="2" s="1" a="1"/>
  <c r="I42" i="2" s="1"/>
  <c r="H34" i="2"/>
  <c r="I34" i="2" s="1" a="1"/>
  <c r="I34" i="2" s="1"/>
  <c r="H26" i="2"/>
  <c r="I26" i="2" s="1" a="1"/>
  <c r="I26" i="2" s="1"/>
  <c r="H18" i="2"/>
  <c r="I18" i="2" s="1" a="1"/>
  <c r="I18" i="2" s="1"/>
  <c r="H10" i="2"/>
  <c r="I10" i="2" s="1" a="1"/>
  <c r="I10" i="2" s="1"/>
  <c r="H160" i="2"/>
  <c r="I160" i="2" s="1" a="1"/>
  <c r="I160" i="2" s="1"/>
  <c r="H152" i="2"/>
  <c r="I152" i="2" s="1" a="1"/>
  <c r="I152" i="2" s="1"/>
  <c r="H144" i="2"/>
  <c r="I144" i="2" s="1" a="1"/>
  <c r="I144" i="2" s="1"/>
  <c r="H136" i="2"/>
  <c r="I136" i="2" s="1" a="1"/>
  <c r="I136" i="2" s="1"/>
  <c r="H128" i="2"/>
  <c r="I128" i="2" s="1" a="1"/>
  <c r="I128" i="2" s="1"/>
  <c r="H120" i="2"/>
  <c r="I120" i="2" s="1" a="1"/>
  <c r="I120" i="2" s="1"/>
  <c r="H112" i="2"/>
  <c r="I112" i="2" s="1" a="1"/>
  <c r="I112" i="2" s="1"/>
  <c r="H104" i="2"/>
  <c r="I104" i="2" s="1" a="1"/>
  <c r="I104" i="2" s="1"/>
  <c r="H96" i="2"/>
  <c r="I96" i="2" s="1" a="1"/>
  <c r="I96" i="2" s="1"/>
  <c r="H88" i="2"/>
  <c r="I88" i="2" s="1" a="1"/>
  <c r="I88" i="2" s="1"/>
  <c r="H80" i="2"/>
  <c r="I80" i="2" s="1" a="1"/>
  <c r="I80" i="2" s="1"/>
  <c r="H72" i="2"/>
  <c r="I72" i="2" s="1" a="1"/>
  <c r="I72" i="2" s="1"/>
  <c r="H64" i="2"/>
  <c r="I64" i="2" s="1" a="1"/>
  <c r="I64" i="2" s="1"/>
  <c r="H56" i="2"/>
  <c r="I56" i="2" s="1" a="1"/>
  <c r="I56" i="2" s="1"/>
  <c r="H48" i="2"/>
  <c r="I48" i="2" s="1" a="1"/>
  <c r="I48" i="2" s="1"/>
  <c r="H40" i="2"/>
  <c r="I40" i="2" s="1" a="1"/>
  <c r="I40" i="2" s="1"/>
  <c r="H32" i="2"/>
  <c r="I32" i="2" s="1" a="1"/>
  <c r="I32" i="2" s="1"/>
  <c r="H24" i="2"/>
  <c r="I24" i="2" s="1" a="1"/>
  <c r="I24" i="2" s="1"/>
  <c r="H16" i="2"/>
  <c r="I16" i="2" s="1" a="1"/>
  <c r="I16" i="2" s="1"/>
  <c r="H8" i="2"/>
  <c r="I8" i="2" s="1" a="1"/>
  <c r="I8" i="2" s="1"/>
  <c r="H158" i="2"/>
  <c r="I158" i="2" s="1" a="1"/>
  <c r="I158" i="2" s="1"/>
  <c r="H150" i="2"/>
  <c r="I150" i="2" s="1" a="1"/>
  <c r="I150" i="2" s="1"/>
  <c r="H142" i="2"/>
  <c r="I142" i="2" s="1" a="1"/>
  <c r="I142" i="2" s="1"/>
  <c r="H134" i="2"/>
  <c r="I134" i="2" s="1" a="1"/>
  <c r="I134" i="2" s="1"/>
  <c r="H126" i="2"/>
  <c r="I126" i="2" s="1" a="1"/>
  <c r="I126" i="2" s="1"/>
  <c r="H118" i="2"/>
  <c r="I118" i="2" s="1" a="1"/>
  <c r="I118" i="2" s="1"/>
  <c r="H110" i="2"/>
  <c r="I110" i="2" s="1" a="1"/>
  <c r="I110" i="2" s="1"/>
  <c r="H102" i="2"/>
  <c r="I102" i="2" s="1" a="1"/>
  <c r="I102" i="2" s="1"/>
  <c r="H94" i="2"/>
  <c r="I94" i="2" s="1" a="1"/>
  <c r="I94" i="2" s="1"/>
  <c r="H86" i="2"/>
  <c r="I86" i="2" s="1" a="1"/>
  <c r="I86" i="2" s="1"/>
  <c r="H78" i="2"/>
  <c r="I78" i="2" s="1" a="1"/>
  <c r="I78" i="2" s="1"/>
  <c r="H70" i="2"/>
  <c r="I70" i="2" s="1" a="1"/>
  <c r="I70" i="2" s="1"/>
  <c r="H62" i="2"/>
  <c r="I62" i="2" s="1" a="1"/>
  <c r="I62" i="2" s="1"/>
  <c r="H54" i="2"/>
  <c r="I54" i="2" s="1" a="1"/>
  <c r="I54" i="2" s="1"/>
  <c r="H46" i="2"/>
  <c r="I46" i="2" s="1" a="1"/>
  <c r="I46" i="2" s="1"/>
  <c r="H38" i="2"/>
  <c r="I38" i="2" s="1" a="1"/>
  <c r="I38" i="2" s="1"/>
  <c r="H30" i="2"/>
  <c r="I30" i="2" s="1" a="1"/>
  <c r="I30" i="2" s="1"/>
  <c r="H22" i="2"/>
  <c r="I22" i="2" s="1" a="1"/>
  <c r="I22" i="2" s="1"/>
  <c r="H14" i="2"/>
  <c r="I14" i="2" s="1" a="1"/>
  <c r="I14" i="2" s="1"/>
  <c r="H6" i="2"/>
  <c r="I6" i="2" s="1" a="1"/>
  <c r="I6" i="2" s="1"/>
  <c r="H39" i="2"/>
  <c r="I39" i="2" s="1" a="1"/>
  <c r="I39" i="2" s="1"/>
  <c r="H31" i="2"/>
  <c r="I31" i="2" s="1" a="1"/>
  <c r="I31" i="2" s="1"/>
  <c r="H23" i="2"/>
  <c r="I23" i="2" s="1" a="1"/>
  <c r="I23" i="2" s="1"/>
  <c r="H15" i="2"/>
  <c r="I15" i="2" s="1" a="1"/>
  <c r="I15" i="2" s="1"/>
  <c r="H7" i="2"/>
  <c r="I7" i="2" s="1" a="1"/>
  <c r="I7" i="2" s="1"/>
  <c r="H157" i="2"/>
  <c r="I157" i="2" s="1" a="1"/>
  <c r="I157" i="2" s="1"/>
  <c r="H149" i="2"/>
  <c r="I149" i="2" s="1" a="1"/>
  <c r="I149" i="2" s="1"/>
  <c r="H141" i="2"/>
  <c r="I141" i="2" s="1" a="1"/>
  <c r="I141" i="2" s="1"/>
  <c r="H133" i="2"/>
  <c r="I133" i="2" s="1" a="1"/>
  <c r="I133" i="2" s="1"/>
  <c r="H125" i="2"/>
  <c r="I125" i="2" s="1" a="1"/>
  <c r="I125" i="2" s="1"/>
  <c r="H117" i="2"/>
  <c r="I117" i="2" s="1" a="1"/>
  <c r="I117" i="2" s="1"/>
  <c r="H109" i="2"/>
  <c r="I109" i="2" s="1" a="1"/>
  <c r="I109" i="2" s="1"/>
  <c r="H101" i="2"/>
  <c r="I101" i="2" s="1" a="1"/>
  <c r="I101" i="2" s="1"/>
  <c r="H93" i="2"/>
  <c r="I93" i="2" s="1" a="1"/>
  <c r="I93" i="2" s="1"/>
  <c r="H85" i="2"/>
  <c r="I85" i="2" s="1" a="1"/>
  <c r="I85" i="2" s="1"/>
  <c r="H77" i="2"/>
  <c r="I77" i="2" s="1" a="1"/>
  <c r="I77" i="2" s="1"/>
  <c r="H69" i="2"/>
  <c r="I69" i="2" s="1" a="1"/>
  <c r="I69" i="2" s="1"/>
  <c r="H61" i="2"/>
  <c r="I61" i="2" s="1" a="1"/>
  <c r="I61" i="2" s="1"/>
  <c r="H53" i="2"/>
  <c r="I53" i="2" s="1" a="1"/>
  <c r="I53" i="2" s="1"/>
  <c r="H45" i="2"/>
  <c r="I45" i="2" s="1" a="1"/>
  <c r="I45" i="2" s="1"/>
  <c r="H37" i="2"/>
  <c r="I37" i="2" s="1" a="1"/>
  <c r="I37" i="2" s="1"/>
  <c r="H29" i="2"/>
  <c r="I29" i="2" s="1" a="1"/>
  <c r="I29" i="2" s="1"/>
  <c r="H21" i="2"/>
  <c r="I21" i="2" s="1" a="1"/>
  <c r="I21" i="2" s="1"/>
  <c r="H13" i="2"/>
  <c r="I13" i="2" s="1" a="1"/>
  <c r="I13" i="2" s="1"/>
  <c r="H5" i="2"/>
  <c r="I5" i="2" s="1" a="1"/>
  <c r="I5" i="2" s="1"/>
  <c r="H156" i="2"/>
  <c r="I156" i="2" s="1" a="1"/>
  <c r="I156" i="2" s="1"/>
  <c r="H148" i="2"/>
  <c r="I148" i="2" s="1" a="1"/>
  <c r="I148" i="2" s="1"/>
  <c r="H140" i="2"/>
  <c r="I140" i="2" s="1" a="1"/>
  <c r="I140" i="2" s="1"/>
  <c r="H132" i="2"/>
  <c r="I132" i="2" s="1" a="1"/>
  <c r="I132" i="2" s="1"/>
  <c r="H124" i="2"/>
  <c r="I124" i="2" s="1" a="1"/>
  <c r="I124" i="2" s="1"/>
  <c r="H116" i="2"/>
  <c r="I116" i="2" s="1" a="1"/>
  <c r="I116" i="2" s="1"/>
  <c r="H108" i="2"/>
  <c r="I108" i="2" s="1" a="1"/>
  <c r="I108" i="2" s="1"/>
  <c r="H100" i="2"/>
  <c r="I100" i="2" s="1" a="1"/>
  <c r="I100" i="2" s="1"/>
  <c r="H92" i="2"/>
  <c r="I92" i="2" s="1" a="1"/>
  <c r="I92" i="2" s="1"/>
  <c r="H84" i="2"/>
  <c r="I84" i="2" s="1" a="1"/>
  <c r="I84" i="2" s="1"/>
  <c r="H76" i="2"/>
  <c r="I76" i="2" s="1" a="1"/>
  <c r="I76" i="2" s="1"/>
  <c r="H68" i="2"/>
  <c r="I68" i="2" s="1" a="1"/>
  <c r="I68" i="2" s="1"/>
  <c r="H60" i="2"/>
  <c r="I60" i="2" s="1" a="1"/>
  <c r="I60" i="2" s="1"/>
  <c r="H52" i="2"/>
  <c r="I52" i="2" s="1" a="1"/>
  <c r="I52" i="2" s="1"/>
  <c r="H44" i="2"/>
  <c r="I44" i="2" s="1" a="1"/>
  <c r="I44" i="2" s="1"/>
  <c r="H36" i="2"/>
  <c r="I36" i="2" s="1" a="1"/>
  <c r="I36" i="2" s="1"/>
  <c r="H28" i="2"/>
  <c r="I28" i="2" s="1" a="1"/>
  <c r="I28" i="2" s="1"/>
  <c r="H20" i="2"/>
  <c r="I20" i="2" s="1" a="1"/>
  <c r="I20" i="2" s="1"/>
  <c r="H12" i="2"/>
  <c r="I12" i="2" s="1" a="1"/>
  <c r="I12" i="2" s="1"/>
  <c r="H4" i="2"/>
  <c r="I4" i="2" s="1" a="1"/>
  <c r="I4" i="2" s="1"/>
  <c r="H2" i="2"/>
  <c r="I2" i="2" s="1" a="1"/>
  <c r="I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5613C-8EF6-4790-8064-1F1EBA0C8E8C}" keepAlive="1" name="Query - Dim_Calendar" description="Connection to the 'Dim_Calendar' query in the workbook." type="5" refreshedVersion="8" background="1" saveData="1">
    <dbPr connection="Provider=Microsoft.Mashup.OleDb.1;Data Source=$Workbook$;Location=Dim_Calendar;Extended Properties=&quot;&quot;" command="SELECT * FROM [Dim_Calendar]"/>
  </connection>
  <connection id="2" xr16:uid="{AD411B04-20B4-4505-9E52-15C16BE3B4C6}" keepAlive="1" name="Query - Dividends" description="Connection to the 'Dividends' query in the workbook." type="5" refreshedVersion="0" background="1">
    <dbPr connection="Provider=Microsoft.Mashup.OleDb.1;Data Source=$Workbook$;Location=Dividends;Extended Properties=&quot;&quot;" command="SELECT * FROM [Dividends]"/>
  </connection>
  <connection id="3" xr16:uid="{256EC387-DFD3-464F-BCC9-9FCEB737DC4F}" keepAlive="1" name="Query - Price Table" description="Connection to the 'Price Table' query in the workbook." type="5" refreshedVersion="8" background="1" saveData="1">
    <dbPr connection="Provider=Microsoft.Mashup.OleDb.1;Data Source=$Workbook$;Location=&quot;Price Table&quot;;Extended Properties=&quot;&quot;" command="SELECT * FROM [Price Table]"/>
  </connection>
  <connection id="4" xr16:uid="{6E4BFE69-26F2-4506-AC98-E55D1BCFF1E3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<sst xmlns="http://schemas.openxmlformats.org/spreadsheetml/2006/main" count="2623" uniqueCount="50">
  <si>
    <t>Date</t>
  </si>
  <si>
    <t>Transaction Type</t>
  </si>
  <si>
    <t>Quantity</t>
  </si>
  <si>
    <t>Price Per Share</t>
  </si>
  <si>
    <t>Total Amount</t>
  </si>
  <si>
    <t>Ticker(Stock Name)</t>
  </si>
  <si>
    <t>Account</t>
  </si>
  <si>
    <t>Investment Type</t>
  </si>
  <si>
    <t>XIRR Cashflow</t>
  </si>
  <si>
    <t>Investment Occasion</t>
  </si>
  <si>
    <t>Mum</t>
  </si>
  <si>
    <t>WOW</t>
  </si>
  <si>
    <t>WDS</t>
  </si>
  <si>
    <t>BHP</t>
  </si>
  <si>
    <t>TCL</t>
  </si>
  <si>
    <t>Mine</t>
  </si>
  <si>
    <t>ANZ</t>
  </si>
  <si>
    <t>TLS</t>
  </si>
  <si>
    <t>ORG</t>
  </si>
  <si>
    <t>GMG</t>
  </si>
  <si>
    <t>Buy</t>
  </si>
  <si>
    <t>Fresh</t>
  </si>
  <si>
    <t>REG</t>
  </si>
  <si>
    <t>NXT</t>
  </si>
  <si>
    <t>Ticker Names</t>
  </si>
  <si>
    <t>CMP</t>
  </si>
  <si>
    <t>SIP</t>
  </si>
  <si>
    <t xml:space="preserve"> Amount Received</t>
  </si>
  <si>
    <t>Re-invested</t>
  </si>
  <si>
    <t>Pending</t>
  </si>
  <si>
    <t>Year</t>
  </si>
  <si>
    <t>Month Number</t>
  </si>
  <si>
    <t>Month Name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</si>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</sst>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[$-C09]dd\-mmm\-yy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thin">
        <color theme="9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2" borderId="2" xfId="0" applyFill="1" applyBorder="1"/>
    <xf numFmtId="2" fontId="0" fillId="2" borderId="2" xfId="0" applyNumberFormat="1" applyFill="1" applyBorder="1"/>
    <xf numFmtId="164" fontId="0" fillId="2" borderId="2" xfId="0" applyNumberFormat="1" applyFill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0" xfId="0" applyNumberFormat="1" applyAlignment="1">
      <alignment horizontal="left"/>
    </xf>
    <xf numFmtId="165" fontId="0" fillId="2" borderId="4" xfId="0" applyNumberFormat="1" applyFill="1" applyBorder="1"/>
    <xf numFmtId="165" fontId="0" fillId="0" borderId="3" xfId="0" applyNumberFormat="1" applyBorder="1"/>
    <xf numFmtId="165" fontId="0" fillId="2" borderId="3" xfId="0" applyNumberFormat="1" applyFill="1" applyBorder="1"/>
    <xf numFmtId="164" fontId="0" fillId="0" borderId="0" xfId="1" applyNumberFormat="1" applyFont="1"/>
    <xf numFmtId="165" fontId="2" fillId="0" borderId="0" xfId="0" applyNumberFormat="1" applyFont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2" fontId="0" fillId="0" borderId="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64" fontId="0" fillId="0" borderId="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9">
    <dxf>
      <numFmt numFmtId="165" formatCode="[$-C09]dd\-mmm\-yy;@"/>
    </dxf>
    <dxf>
      <numFmt numFmtId="0" formatCode="General"/>
    </dxf>
    <dxf>
      <numFmt numFmtId="0" formatCode="General"/>
    </dxf>
    <dxf>
      <numFmt numFmtId="164" formatCode="&quot;$&quot;#,##0.00"/>
      <alignment horizontal="center" textRotation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numFmt numFmtId="30" formatCode="@"/>
      <alignment horizontal="center" textRotation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numFmt numFmtId="30" formatCode="@"/>
      <alignment horizontal="center" textRotation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numFmt numFmtId="30" formatCode="@"/>
      <alignment horizontal="center" textRotation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numFmt numFmtId="165" formatCode="[$-C09]dd\-mmm\-yy;@"/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[$-C09]dd\-mmm\-yy;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2" formatCode="0.0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[$-C09]d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1FDD402-EE1D-49CE-B00C-EB97FDD68079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Ticker(Stock Name)" tableColumnId="2"/>
      <queryTableField id="3" name="Quantity" tableColumnId="3"/>
      <queryTableField id="4" name="Price Per Shar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810F91-E170-4F1C-85D7-9E58566F54AC}" autoFormatId="16" applyNumberFormats="0" applyBorderFormats="0" applyFontFormats="0" applyPatternFormats="0" applyAlignmentFormats="0" applyWidthHeightFormats="0">
  <queryTableRefresh nextId="3">
    <queryTableFields count="2">
      <queryTableField id="1" name="Ticker Names" tableColumnId="1"/>
      <queryTableField id="2" name="CMP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C47C1C-51B9-45FE-877D-9201E1E909F6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Year" tableColumnId="2"/>
      <queryTableField id="3" name="Month Number" tableColumnId="3"/>
      <queryTableField id="4" name="Month Name" tableColumnId="4"/>
      <queryTableField id="5" name="Quar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BD3B8E-02A5-4A9F-A4C7-7430C31AFA2C}" name="Raw_Data" displayName="Raw_Data" ref="A1:D161" tableType="queryTable" totalsRowShown="0">
  <autoFilter ref="A1:D161" xr:uid="{26BD3B8E-02A5-4A9F-A4C7-7430C31AFA2C}"/>
  <tableColumns count="4">
    <tableColumn id="1" xr3:uid="{4B718970-5F5E-440B-9685-ABF5CA9D18F2}" uniqueName="1" name="Date" queryTableFieldId="1" dataDxfId="28"/>
    <tableColumn id="2" xr3:uid="{7377CF5D-E073-4747-A1C1-3CEE2C4E7FF2}" uniqueName="2" name="Ticker(Stock Name)" queryTableFieldId="2" dataDxfId="27"/>
    <tableColumn id="3" xr3:uid="{941C5F1A-C79D-484F-B74C-3448A57831E8}" uniqueName="3" name="Quantity" queryTableFieldId="3" dataDxfId="26"/>
    <tableColumn id="4" xr3:uid="{2455854C-A7FF-4210-8006-8ED9CA07D8CE}" uniqueName="4" name="Price Per Share" queryTableFieldId="4" dataDxfId="25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4A7DDC-D8AE-440B-9E8A-A1CBCF92CA56}" name="Price_Table" displayName="Price_Table" ref="A1:B11" tableType="queryTable" totalsRowShown="0">
  <autoFilter ref="A1:B11" xr:uid="{0E4A7DDC-D8AE-440B-9E8A-A1CBCF92CA56}"/>
  <tableColumns count="2">
    <tableColumn id="1" xr3:uid="{F20FCDBC-D3DD-4EBA-9192-E5FBE7F42EBB}" uniqueName="1" name="Ticker Names" queryTableFieldId="1" dataDxfId="24"/>
    <tableColumn id="2" xr3:uid="{059A28E9-622A-465B-B8E7-BC58007F7C28}" uniqueName="2" name="CMP" queryTableFieldId="2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0E386C-02AE-47BB-BF09-6271671A5EF9}" name="Dim_Calendar" displayName="Dim_Calendar" ref="A1:E731" tableType="queryTable" totalsRowShown="0">
  <autoFilter ref="A1:E731" xr:uid="{DF0E386C-02AE-47BB-BF09-6271671A5EF9}"/>
  <tableColumns count="5">
    <tableColumn id="1" xr3:uid="{0EFA0A60-3872-423F-8DC8-DBA2478D5852}" uniqueName="1" name="Date" queryTableFieldId="1" dataDxfId="0"/>
    <tableColumn id="2" xr3:uid="{B278F0D3-0F08-4B9A-BF2F-85AE5B4231B1}" uniqueName="2" name="Year" queryTableFieldId="2"/>
    <tableColumn id="3" xr3:uid="{F77BC0D3-8DB4-4A3B-BDE5-91D1C4DFFFB6}" uniqueName="3" name="Month Number" queryTableFieldId="3"/>
    <tableColumn id="4" xr3:uid="{135A4891-5863-4F99-B124-C1D8D3E37636}" uniqueName="4" name="Month Name" queryTableFieldId="4" dataDxfId="2"/>
    <tableColumn id="5" xr3:uid="{E51A5B70-0955-4983-BFF0-4018EBBBE7DD}" uniqueName="5" name="Quarter" queryTableFieldId="5" dataDxfId="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08D327-0346-466A-A856-A5123ABC37BA}" name="Table5" displayName="Table5" ref="A1:E57" totalsRowShown="0" headerRowDxfId="5" dataDxfId="6">
  <autoFilter ref="A1:E57" xr:uid="{7708D327-0346-466A-A856-A5123ABC37BA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57">
    <sortCondition ref="A1:A57"/>
  </sortState>
  <tableColumns count="5">
    <tableColumn id="1" xr3:uid="{FC390852-658F-48B9-AD8F-EA32176AF6D0}" name="Date" dataDxfId="9"/>
    <tableColumn id="2" xr3:uid="{47898E69-3897-45E9-944E-09EE3AE63207}" name="Ticker(Stock Name)" dataDxfId="8"/>
    <tableColumn id="3" xr3:uid="{21AA439C-6FBE-4E5A-A849-7BFA0B79F6C0}" name="Account" dataDxfId="7"/>
    <tableColumn id="4" xr3:uid="{643E3624-0A33-4212-A3D3-DB0BFFD7596B}" name=" Amount Received" dataDxfId="3"/>
    <tableColumn id="5" xr3:uid="{259729B4-3692-492F-A896-1196C6456BDD}" name="Re-invested" dataDxfId="4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363A8-9980-4901-82BF-96FDB602145B}" name="Trades" displayName="Trades" ref="A1:J169" totalsRowShown="0" headerRowDxfId="22" dataDxfId="21" tableBorderDxfId="20">
  <autoFilter ref="A1:J169" xr:uid="{D78363A8-9980-4901-82BF-96FDB60214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1649779-E5DE-4FA8-BC02-8BA17CDDFDA2}" name="Date" dataDxfId="19"/>
    <tableColumn id="2" xr3:uid="{153101C0-0993-4B84-B35F-9D2E44E52560}" name="Ticker(Stock Name)" dataDxfId="18"/>
    <tableColumn id="3" xr3:uid="{3C31A347-696E-491A-B32E-E03A7E84437A}" name="Account" dataDxfId="17"/>
    <tableColumn id="4" xr3:uid="{ACF71F1B-A4B5-4F0B-AE22-4F5FCBD987AB}" name="Transaction Type" dataDxfId="16"/>
    <tableColumn id="5" xr3:uid="{412436DD-5A0C-4D60-BED8-A88573B2AB4D}" name="Investment Type" dataDxfId="15"/>
    <tableColumn id="6" xr3:uid="{E29E1160-3FB9-4334-BDBE-34E58FE81494}" name="Quantity" dataDxfId="14"/>
    <tableColumn id="7" xr3:uid="{0316DE2E-E1B8-482C-BD40-9E342BBA30A0}" name="Price Per Share" dataDxfId="13"/>
    <tableColumn id="8" xr3:uid="{FB3FC4E7-2967-429B-93E7-3E9AD612F62D}" name="Total Amount" dataDxfId="12">
      <calculatedColumnFormula>IF(A2="", "", F2*G2)</calculatedColumnFormula>
    </tableColumn>
    <tableColumn id="9" xr3:uid="{257180FD-0BA3-4D76-8B8B-CC2974B4DE16}" name="XIRR Cashflow" dataDxfId="11">
      <calculatedColumnFormula array="1">_xlfn.IFS(E2="Dividend", 0, AND(D2="Buy", E2="Fresh"), -H2, AND(D2="Sell", E2="Fresh"), H2, TRUE, "")</calculatedColumnFormula>
    </tableColumn>
    <tableColumn id="10" xr3:uid="{0670F3BC-96D8-493B-B9A3-FD6619B37B04}" name="Investment Occasion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B903-0026-419B-96AC-1A3ED5709ECD}">
  <dimension ref="A1:D161"/>
  <sheetViews>
    <sheetView workbookViewId="0">
      <selection activeCell="C17" sqref="C17"/>
    </sheetView>
  </sheetViews>
  <sheetFormatPr defaultRowHeight="15.6" x14ac:dyDescent="0.3"/>
  <cols>
    <col min="1" max="1" width="9.3984375" style="2" bestFit="1" customWidth="1"/>
    <col min="2" max="2" width="19.3984375" style="17" bestFit="1" customWidth="1"/>
    <col min="3" max="3" width="10" style="3" bestFit="1" customWidth="1"/>
    <col min="4" max="4" width="15.796875" style="21" bestFit="1" customWidth="1"/>
  </cols>
  <sheetData>
    <row r="1" spans="1:4" x14ac:dyDescent="0.3">
      <c r="A1" s="2" t="s">
        <v>0</v>
      </c>
      <c r="B1" s="17" t="s">
        <v>5</v>
      </c>
      <c r="C1" s="3" t="s">
        <v>2</v>
      </c>
      <c r="D1" s="21" t="s">
        <v>3</v>
      </c>
    </row>
    <row r="2" spans="1:4" x14ac:dyDescent="0.3">
      <c r="A2" s="2">
        <v>45659</v>
      </c>
      <c r="B2" s="17" t="s">
        <v>12</v>
      </c>
      <c r="C2" s="3">
        <v>8</v>
      </c>
      <c r="D2" s="21">
        <v>24.66</v>
      </c>
    </row>
    <row r="3" spans="1:4" x14ac:dyDescent="0.3">
      <c r="A3" s="2">
        <v>45659</v>
      </c>
      <c r="B3" s="17" t="s">
        <v>13</v>
      </c>
      <c r="C3" s="3">
        <v>5</v>
      </c>
      <c r="D3" s="21">
        <v>39.5</v>
      </c>
    </row>
    <row r="4" spans="1:4" x14ac:dyDescent="0.3">
      <c r="A4" s="2">
        <v>45659</v>
      </c>
      <c r="B4" s="17" t="s">
        <v>14</v>
      </c>
      <c r="C4" s="3">
        <v>14</v>
      </c>
      <c r="D4" s="21">
        <v>13.42</v>
      </c>
    </row>
    <row r="5" spans="1:4" x14ac:dyDescent="0.3">
      <c r="A5" s="2">
        <v>45659</v>
      </c>
      <c r="B5" s="17" t="s">
        <v>11</v>
      </c>
      <c r="C5" s="3">
        <v>6</v>
      </c>
      <c r="D5" s="21">
        <v>30.35</v>
      </c>
    </row>
    <row r="6" spans="1:4" x14ac:dyDescent="0.3">
      <c r="A6" s="2">
        <v>45659</v>
      </c>
      <c r="B6" s="17" t="s">
        <v>22</v>
      </c>
      <c r="C6" s="3">
        <v>33</v>
      </c>
      <c r="D6" s="21">
        <v>5.94</v>
      </c>
    </row>
    <row r="7" spans="1:4" x14ac:dyDescent="0.3">
      <c r="A7" s="2">
        <v>45659</v>
      </c>
      <c r="B7" s="17" t="s">
        <v>16</v>
      </c>
      <c r="C7" s="3">
        <v>7</v>
      </c>
      <c r="D7" s="21">
        <v>28.43</v>
      </c>
    </row>
    <row r="8" spans="1:4" x14ac:dyDescent="0.3">
      <c r="A8" s="2">
        <v>45659</v>
      </c>
      <c r="B8" s="17" t="s">
        <v>23</v>
      </c>
      <c r="C8" s="3">
        <v>13</v>
      </c>
      <c r="D8" s="21">
        <v>14.77</v>
      </c>
    </row>
    <row r="9" spans="1:4" x14ac:dyDescent="0.3">
      <c r="A9" s="2">
        <v>45659</v>
      </c>
      <c r="B9" s="17" t="s">
        <v>17</v>
      </c>
      <c r="C9" s="3">
        <v>50</v>
      </c>
      <c r="D9" s="21">
        <v>4</v>
      </c>
    </row>
    <row r="10" spans="1:4" x14ac:dyDescent="0.3">
      <c r="A10" s="2">
        <v>45659</v>
      </c>
      <c r="B10" s="17" t="s">
        <v>18</v>
      </c>
      <c r="C10" s="3">
        <v>18</v>
      </c>
      <c r="D10" s="21">
        <v>10.84</v>
      </c>
    </row>
    <row r="11" spans="1:4" x14ac:dyDescent="0.3">
      <c r="A11" s="2">
        <v>45659</v>
      </c>
      <c r="B11" s="17" t="s">
        <v>19</v>
      </c>
      <c r="C11" s="3">
        <v>5</v>
      </c>
      <c r="D11" s="21">
        <v>35.54</v>
      </c>
    </row>
    <row r="12" spans="1:4" x14ac:dyDescent="0.3">
      <c r="A12" s="2">
        <v>45691</v>
      </c>
      <c r="B12" s="17" t="s">
        <v>12</v>
      </c>
      <c r="C12" s="3">
        <v>8</v>
      </c>
      <c r="D12" s="21">
        <v>24.42</v>
      </c>
    </row>
    <row r="13" spans="1:4" x14ac:dyDescent="0.3">
      <c r="A13" s="2">
        <v>45691</v>
      </c>
      <c r="B13" s="17" t="s">
        <v>13</v>
      </c>
      <c r="C13" s="3">
        <v>5</v>
      </c>
      <c r="D13" s="21">
        <v>39.43</v>
      </c>
    </row>
    <row r="14" spans="1:4" x14ac:dyDescent="0.3">
      <c r="A14" s="2">
        <v>45691</v>
      </c>
      <c r="B14" s="17" t="s">
        <v>14</v>
      </c>
      <c r="C14" s="3">
        <v>15</v>
      </c>
      <c r="D14" s="21">
        <v>13.23</v>
      </c>
    </row>
    <row r="15" spans="1:4" x14ac:dyDescent="0.3">
      <c r="A15" s="2">
        <v>45691</v>
      </c>
      <c r="B15" s="17" t="s">
        <v>11</v>
      </c>
      <c r="C15" s="3">
        <v>6</v>
      </c>
      <c r="D15" s="21">
        <v>30.1</v>
      </c>
    </row>
    <row r="16" spans="1:4" x14ac:dyDescent="0.3">
      <c r="A16" s="2">
        <v>45691</v>
      </c>
      <c r="B16" s="17" t="s">
        <v>22</v>
      </c>
      <c r="C16" s="3">
        <v>31</v>
      </c>
      <c r="D16" s="21">
        <v>6.4</v>
      </c>
    </row>
    <row r="17" spans="1:4" x14ac:dyDescent="0.3">
      <c r="A17" s="2">
        <v>45691</v>
      </c>
      <c r="B17" s="17" t="s">
        <v>16</v>
      </c>
      <c r="C17" s="3">
        <v>6</v>
      </c>
      <c r="D17" s="21">
        <v>30.2</v>
      </c>
    </row>
    <row r="18" spans="1:4" x14ac:dyDescent="0.3">
      <c r="A18" s="2">
        <v>45691</v>
      </c>
      <c r="B18" s="17" t="s">
        <v>23</v>
      </c>
      <c r="C18" s="3">
        <v>13</v>
      </c>
      <c r="D18" s="21">
        <v>14.52</v>
      </c>
    </row>
    <row r="19" spans="1:4" x14ac:dyDescent="0.3">
      <c r="A19" s="2">
        <v>45691</v>
      </c>
      <c r="B19" s="17" t="s">
        <v>17</v>
      </c>
      <c r="C19" s="3">
        <v>50</v>
      </c>
      <c r="D19" s="21">
        <v>3.93</v>
      </c>
    </row>
    <row r="20" spans="1:4" x14ac:dyDescent="0.3">
      <c r="A20" s="2">
        <v>45691</v>
      </c>
      <c r="B20" s="17" t="s">
        <v>18</v>
      </c>
      <c r="C20" s="3">
        <v>19</v>
      </c>
      <c r="D20" s="21">
        <v>10.199999999999999</v>
      </c>
    </row>
    <row r="21" spans="1:4" x14ac:dyDescent="0.3">
      <c r="A21" s="2">
        <v>45691</v>
      </c>
      <c r="B21" s="17" t="s">
        <v>19</v>
      </c>
      <c r="C21" s="3">
        <v>5</v>
      </c>
      <c r="D21" s="21">
        <v>35.06</v>
      </c>
    </row>
    <row r="22" spans="1:4" x14ac:dyDescent="0.3">
      <c r="A22" s="2">
        <v>45719</v>
      </c>
      <c r="B22" s="17" t="s">
        <v>12</v>
      </c>
      <c r="C22" s="3">
        <v>8</v>
      </c>
      <c r="D22" s="21">
        <v>24.81</v>
      </c>
    </row>
    <row r="23" spans="1:4" x14ac:dyDescent="0.3">
      <c r="A23" s="2">
        <v>45719</v>
      </c>
      <c r="B23" s="17" t="s">
        <v>13</v>
      </c>
      <c r="C23" s="3">
        <v>5</v>
      </c>
      <c r="D23" s="21">
        <v>38.93</v>
      </c>
    </row>
    <row r="24" spans="1:4" x14ac:dyDescent="0.3">
      <c r="A24" s="2">
        <v>45719</v>
      </c>
      <c r="B24" s="17" t="s">
        <v>14</v>
      </c>
      <c r="C24" s="3">
        <v>15</v>
      </c>
      <c r="D24" s="21">
        <v>13.17</v>
      </c>
    </row>
    <row r="25" spans="1:4" x14ac:dyDescent="0.3">
      <c r="A25" s="2">
        <v>45719</v>
      </c>
      <c r="B25" s="17" t="s">
        <v>11</v>
      </c>
      <c r="C25" s="3">
        <v>6</v>
      </c>
      <c r="D25" s="21">
        <v>30.09</v>
      </c>
    </row>
    <row r="26" spans="1:4" x14ac:dyDescent="0.3">
      <c r="A26" s="2">
        <v>45719</v>
      </c>
      <c r="B26" s="17" t="s">
        <v>22</v>
      </c>
      <c r="C26" s="3">
        <v>30</v>
      </c>
      <c r="D26" s="21">
        <v>6.59</v>
      </c>
    </row>
    <row r="27" spans="1:4" x14ac:dyDescent="0.3">
      <c r="A27" s="2">
        <v>45719</v>
      </c>
      <c r="B27" s="17" t="s">
        <v>16</v>
      </c>
      <c r="C27" s="3">
        <v>6</v>
      </c>
      <c r="D27" s="21">
        <v>30</v>
      </c>
    </row>
    <row r="28" spans="1:4" x14ac:dyDescent="0.3">
      <c r="A28" s="2">
        <v>45719</v>
      </c>
      <c r="B28" s="17" t="s">
        <v>23</v>
      </c>
      <c r="C28" s="3">
        <v>15</v>
      </c>
      <c r="D28" s="21">
        <v>13.15</v>
      </c>
    </row>
    <row r="29" spans="1:4" x14ac:dyDescent="0.3">
      <c r="A29" s="2">
        <v>45719</v>
      </c>
      <c r="B29" s="17" t="s">
        <v>17</v>
      </c>
      <c r="C29" s="3">
        <v>47</v>
      </c>
      <c r="D29" s="21">
        <v>4.17</v>
      </c>
    </row>
    <row r="30" spans="1:4" x14ac:dyDescent="0.3">
      <c r="A30" s="2">
        <v>45719</v>
      </c>
      <c r="B30" s="17" t="s">
        <v>18</v>
      </c>
      <c r="C30" s="3">
        <v>18</v>
      </c>
      <c r="D30" s="21">
        <v>11.01</v>
      </c>
    </row>
    <row r="31" spans="1:4" x14ac:dyDescent="0.3">
      <c r="A31" s="2">
        <v>45719</v>
      </c>
      <c r="B31" s="17" t="s">
        <v>19</v>
      </c>
      <c r="C31" s="3">
        <v>6</v>
      </c>
      <c r="D31" s="21">
        <v>31.98</v>
      </c>
    </row>
    <row r="32" spans="1:4" x14ac:dyDescent="0.3">
      <c r="A32" s="2">
        <v>45748</v>
      </c>
      <c r="B32" s="17" t="s">
        <v>12</v>
      </c>
      <c r="C32" s="3">
        <v>8</v>
      </c>
      <c r="D32" s="21">
        <v>23.33</v>
      </c>
    </row>
    <row r="33" spans="1:4" x14ac:dyDescent="0.3">
      <c r="A33" s="2">
        <v>45748</v>
      </c>
      <c r="B33" s="17" t="s">
        <v>13</v>
      </c>
      <c r="C33" s="3">
        <v>5</v>
      </c>
      <c r="D33" s="21">
        <v>38.729999999999997</v>
      </c>
    </row>
    <row r="34" spans="1:4" x14ac:dyDescent="0.3">
      <c r="A34" s="2">
        <v>45748</v>
      </c>
      <c r="B34" s="17" t="s">
        <v>14</v>
      </c>
      <c r="C34" s="3">
        <v>14</v>
      </c>
      <c r="D34" s="21">
        <v>13.34</v>
      </c>
    </row>
    <row r="35" spans="1:4" x14ac:dyDescent="0.3">
      <c r="A35" s="2">
        <v>45748</v>
      </c>
      <c r="B35" s="17" t="s">
        <v>11</v>
      </c>
      <c r="C35" s="3">
        <v>6</v>
      </c>
      <c r="D35" s="21">
        <v>29.72</v>
      </c>
    </row>
    <row r="36" spans="1:4" x14ac:dyDescent="0.3">
      <c r="A36" s="2">
        <v>45748</v>
      </c>
      <c r="B36" s="17" t="s">
        <v>22</v>
      </c>
      <c r="C36" s="3">
        <v>29</v>
      </c>
      <c r="D36" s="21">
        <v>6.77</v>
      </c>
    </row>
    <row r="37" spans="1:4" x14ac:dyDescent="0.3">
      <c r="A37" s="2">
        <v>45748</v>
      </c>
      <c r="B37" s="17" t="s">
        <v>16</v>
      </c>
      <c r="C37" s="3">
        <v>6</v>
      </c>
      <c r="D37" s="21">
        <v>29.3</v>
      </c>
    </row>
    <row r="38" spans="1:4" x14ac:dyDescent="0.3">
      <c r="A38" s="2">
        <v>45748</v>
      </c>
      <c r="B38" s="17" t="s">
        <v>23</v>
      </c>
      <c r="C38" s="3">
        <v>17</v>
      </c>
      <c r="D38" s="21">
        <v>11.27</v>
      </c>
    </row>
    <row r="39" spans="1:4" x14ac:dyDescent="0.3">
      <c r="A39" s="2">
        <v>45748</v>
      </c>
      <c r="B39" s="17" t="s">
        <v>17</v>
      </c>
      <c r="C39" s="3">
        <v>47</v>
      </c>
      <c r="D39" s="21">
        <v>4.22</v>
      </c>
    </row>
    <row r="40" spans="1:4" x14ac:dyDescent="0.3">
      <c r="A40" s="2">
        <v>45748</v>
      </c>
      <c r="B40" s="17" t="s">
        <v>18</v>
      </c>
      <c r="C40" s="3">
        <v>18</v>
      </c>
      <c r="D40" s="21">
        <v>10.69</v>
      </c>
    </row>
    <row r="41" spans="1:4" x14ac:dyDescent="0.3">
      <c r="A41" s="2">
        <v>45748</v>
      </c>
      <c r="B41" s="17" t="s">
        <v>19</v>
      </c>
      <c r="C41" s="3">
        <v>6</v>
      </c>
      <c r="D41" s="21">
        <v>29.25</v>
      </c>
    </row>
    <row r="42" spans="1:4" x14ac:dyDescent="0.3">
      <c r="A42" s="2">
        <v>45778</v>
      </c>
      <c r="B42" s="17" t="s">
        <v>12</v>
      </c>
      <c r="C42" s="3">
        <v>9</v>
      </c>
      <c r="D42" s="21">
        <v>20.329999999999998</v>
      </c>
    </row>
    <row r="43" spans="1:4" x14ac:dyDescent="0.3">
      <c r="A43" s="2">
        <v>45778</v>
      </c>
      <c r="B43" s="17" t="s">
        <v>13</v>
      </c>
      <c r="C43" s="3">
        <v>5</v>
      </c>
      <c r="D43" s="21">
        <v>37.450000000000003</v>
      </c>
    </row>
    <row r="44" spans="1:4" x14ac:dyDescent="0.3">
      <c r="A44" s="2">
        <v>45778</v>
      </c>
      <c r="B44" s="17" t="s">
        <v>14</v>
      </c>
      <c r="C44" s="3">
        <v>14</v>
      </c>
      <c r="D44" s="21">
        <v>14.2</v>
      </c>
    </row>
    <row r="45" spans="1:4" x14ac:dyDescent="0.3">
      <c r="A45" s="2">
        <v>45778</v>
      </c>
      <c r="B45" s="17" t="s">
        <v>11</v>
      </c>
      <c r="C45" s="3">
        <v>6</v>
      </c>
      <c r="D45" s="21">
        <v>31.9</v>
      </c>
    </row>
    <row r="46" spans="1:4" x14ac:dyDescent="0.3">
      <c r="A46" s="2">
        <v>45778</v>
      </c>
      <c r="B46" s="17" t="s">
        <v>22</v>
      </c>
      <c r="C46" s="3">
        <v>29</v>
      </c>
      <c r="D46" s="21">
        <v>6.75</v>
      </c>
    </row>
    <row r="47" spans="1:4" x14ac:dyDescent="0.3">
      <c r="A47" s="2">
        <v>45778</v>
      </c>
      <c r="B47" s="17" t="s">
        <v>16</v>
      </c>
      <c r="C47" s="3">
        <v>6</v>
      </c>
      <c r="D47" s="21">
        <v>29.99</v>
      </c>
    </row>
    <row r="48" spans="1:4" x14ac:dyDescent="0.3">
      <c r="A48" s="2">
        <v>45778</v>
      </c>
      <c r="B48" s="17" t="s">
        <v>23</v>
      </c>
      <c r="C48" s="3">
        <v>16</v>
      </c>
      <c r="D48" s="21">
        <v>11.84</v>
      </c>
    </row>
    <row r="49" spans="1:4" x14ac:dyDescent="0.3">
      <c r="A49" s="2">
        <v>45778</v>
      </c>
      <c r="B49" s="17" t="s">
        <v>17</v>
      </c>
      <c r="C49" s="3">
        <v>44</v>
      </c>
      <c r="D49" s="21">
        <v>4.5199999999999996</v>
      </c>
    </row>
    <row r="50" spans="1:4" x14ac:dyDescent="0.3">
      <c r="A50" s="2">
        <v>45778</v>
      </c>
      <c r="B50" s="17" t="s">
        <v>18</v>
      </c>
      <c r="C50" s="3">
        <v>18</v>
      </c>
      <c r="D50" s="21">
        <v>10.68</v>
      </c>
    </row>
    <row r="51" spans="1:4" x14ac:dyDescent="0.3">
      <c r="A51" s="2">
        <v>45778</v>
      </c>
      <c r="B51" s="17" t="s">
        <v>19</v>
      </c>
      <c r="C51" s="3">
        <v>6</v>
      </c>
      <c r="D51" s="21">
        <v>30.11</v>
      </c>
    </row>
    <row r="52" spans="1:4" x14ac:dyDescent="0.3">
      <c r="A52" s="2">
        <v>45810</v>
      </c>
      <c r="B52" s="17" t="s">
        <v>12</v>
      </c>
      <c r="C52" s="3">
        <v>8</v>
      </c>
      <c r="D52" s="21">
        <v>22.25</v>
      </c>
    </row>
    <row r="53" spans="1:4" x14ac:dyDescent="0.3">
      <c r="A53" s="2">
        <v>45810</v>
      </c>
      <c r="B53" s="17" t="s">
        <v>13</v>
      </c>
      <c r="C53" s="3">
        <v>5</v>
      </c>
      <c r="D53" s="21">
        <v>38.1</v>
      </c>
    </row>
    <row r="54" spans="1:4" x14ac:dyDescent="0.3">
      <c r="A54" s="2">
        <v>45810</v>
      </c>
      <c r="B54" s="17" t="s">
        <v>14</v>
      </c>
      <c r="C54" s="3">
        <v>14</v>
      </c>
      <c r="D54" s="21">
        <v>14.23</v>
      </c>
    </row>
    <row r="55" spans="1:4" x14ac:dyDescent="0.3">
      <c r="A55" s="2">
        <v>45810</v>
      </c>
      <c r="B55" s="17" t="s">
        <v>11</v>
      </c>
      <c r="C55" s="3">
        <v>6</v>
      </c>
      <c r="D55" s="21">
        <v>31.85</v>
      </c>
    </row>
    <row r="56" spans="1:4" x14ac:dyDescent="0.3">
      <c r="A56" s="2">
        <v>45810</v>
      </c>
      <c r="B56" s="17" t="s">
        <v>22</v>
      </c>
      <c r="C56" s="3">
        <v>24</v>
      </c>
      <c r="D56" s="21">
        <v>8.14</v>
      </c>
    </row>
    <row r="57" spans="1:4" x14ac:dyDescent="0.3">
      <c r="A57" s="2">
        <v>45810</v>
      </c>
      <c r="B57" s="17" t="s">
        <v>16</v>
      </c>
      <c r="C57" s="3">
        <v>6</v>
      </c>
      <c r="D57" s="21">
        <v>28.96</v>
      </c>
    </row>
    <row r="58" spans="1:4" x14ac:dyDescent="0.3">
      <c r="A58" s="2">
        <v>45810</v>
      </c>
      <c r="B58" s="17" t="s">
        <v>23</v>
      </c>
      <c r="C58" s="3">
        <v>15</v>
      </c>
      <c r="D58" s="21">
        <v>12.81</v>
      </c>
    </row>
    <row r="59" spans="1:4" x14ac:dyDescent="0.3">
      <c r="A59" s="2">
        <v>45810</v>
      </c>
      <c r="B59" s="17" t="s">
        <v>17</v>
      </c>
      <c r="C59" s="3">
        <v>41</v>
      </c>
      <c r="D59" s="21">
        <v>4.8099999999999996</v>
      </c>
    </row>
    <row r="60" spans="1:4" x14ac:dyDescent="0.3">
      <c r="A60" s="2">
        <v>45810</v>
      </c>
      <c r="B60" s="17" t="s">
        <v>18</v>
      </c>
      <c r="C60" s="3">
        <v>18</v>
      </c>
      <c r="D60" s="21">
        <v>10.77</v>
      </c>
    </row>
    <row r="61" spans="1:4" x14ac:dyDescent="0.3">
      <c r="A61" s="2">
        <v>45810</v>
      </c>
      <c r="B61" s="17" t="s">
        <v>19</v>
      </c>
      <c r="C61" s="3">
        <v>6</v>
      </c>
      <c r="D61" s="21">
        <v>32.53</v>
      </c>
    </row>
    <row r="62" spans="1:4" x14ac:dyDescent="0.3">
      <c r="A62" s="2">
        <v>45839</v>
      </c>
      <c r="B62" s="17" t="s">
        <v>12</v>
      </c>
      <c r="C62" s="3">
        <v>8</v>
      </c>
      <c r="D62" s="21">
        <v>23.7</v>
      </c>
    </row>
    <row r="63" spans="1:4" x14ac:dyDescent="0.3">
      <c r="A63" s="2">
        <v>45839</v>
      </c>
      <c r="B63" s="17" t="s">
        <v>13</v>
      </c>
      <c r="C63" s="3">
        <v>5</v>
      </c>
      <c r="D63" s="21">
        <v>36.64</v>
      </c>
    </row>
    <row r="64" spans="1:4" x14ac:dyDescent="0.3">
      <c r="A64" s="2">
        <v>45839</v>
      </c>
      <c r="B64" s="17" t="s">
        <v>14</v>
      </c>
      <c r="C64" s="3">
        <v>14</v>
      </c>
      <c r="D64" s="21">
        <v>13.95</v>
      </c>
    </row>
    <row r="65" spans="1:4" x14ac:dyDescent="0.3">
      <c r="A65" s="2">
        <v>45839</v>
      </c>
      <c r="B65" s="17" t="s">
        <v>11</v>
      </c>
      <c r="C65" s="3">
        <v>6</v>
      </c>
      <c r="D65" s="21">
        <v>31.14</v>
      </c>
    </row>
    <row r="66" spans="1:4" x14ac:dyDescent="0.3">
      <c r="A66" s="2">
        <v>45839</v>
      </c>
      <c r="B66" s="17" t="s">
        <v>22</v>
      </c>
      <c r="C66" s="3">
        <v>25</v>
      </c>
      <c r="D66" s="21">
        <v>7.85</v>
      </c>
    </row>
    <row r="67" spans="1:4" x14ac:dyDescent="0.3">
      <c r="A67" s="2">
        <v>45839</v>
      </c>
      <c r="B67" s="17" t="s">
        <v>16</v>
      </c>
      <c r="C67" s="3">
        <v>6</v>
      </c>
      <c r="D67" s="21">
        <v>29.17</v>
      </c>
    </row>
    <row r="68" spans="1:4" x14ac:dyDescent="0.3">
      <c r="A68" s="2">
        <v>45839</v>
      </c>
      <c r="B68" s="17" t="s">
        <v>23</v>
      </c>
      <c r="C68" s="3">
        <v>13</v>
      </c>
      <c r="D68" s="21">
        <v>14.35</v>
      </c>
    </row>
    <row r="69" spans="1:4" x14ac:dyDescent="0.3">
      <c r="A69" s="2">
        <v>45839</v>
      </c>
      <c r="B69" s="17" t="s">
        <v>17</v>
      </c>
      <c r="C69" s="3">
        <v>40</v>
      </c>
      <c r="D69" s="21">
        <v>4.88</v>
      </c>
    </row>
    <row r="70" spans="1:4" x14ac:dyDescent="0.3">
      <c r="A70" s="2">
        <v>45839</v>
      </c>
      <c r="B70" s="17" t="s">
        <v>18</v>
      </c>
      <c r="C70" s="3">
        <v>18</v>
      </c>
      <c r="D70" s="21">
        <v>10.83</v>
      </c>
    </row>
    <row r="71" spans="1:4" x14ac:dyDescent="0.3">
      <c r="A71" s="2">
        <v>45839</v>
      </c>
      <c r="B71" s="17" t="s">
        <v>19</v>
      </c>
      <c r="C71" s="3">
        <v>5</v>
      </c>
      <c r="D71" s="21">
        <v>34.74</v>
      </c>
    </row>
    <row r="72" spans="1:4" x14ac:dyDescent="0.3">
      <c r="A72" s="2">
        <v>45870</v>
      </c>
      <c r="B72" s="17" t="s">
        <v>12</v>
      </c>
      <c r="C72" s="3">
        <v>7</v>
      </c>
      <c r="D72" s="21">
        <v>26.4</v>
      </c>
    </row>
    <row r="73" spans="1:4" x14ac:dyDescent="0.3">
      <c r="A73" s="2">
        <v>45870</v>
      </c>
      <c r="B73" s="17" t="s">
        <v>13</v>
      </c>
      <c r="C73" s="3">
        <v>5</v>
      </c>
      <c r="D73" s="21">
        <v>39.450000000000003</v>
      </c>
    </row>
    <row r="74" spans="1:4" x14ac:dyDescent="0.3">
      <c r="A74" s="2">
        <v>45870</v>
      </c>
      <c r="B74" s="17" t="s">
        <v>14</v>
      </c>
      <c r="C74" s="3">
        <v>14</v>
      </c>
      <c r="D74" s="21">
        <v>13.75</v>
      </c>
    </row>
    <row r="75" spans="1:4" x14ac:dyDescent="0.3">
      <c r="A75" s="2">
        <v>45870</v>
      </c>
      <c r="B75" s="17" t="s">
        <v>11</v>
      </c>
      <c r="C75" s="3">
        <v>6</v>
      </c>
      <c r="D75" s="21">
        <v>31.5</v>
      </c>
    </row>
    <row r="76" spans="1:4" x14ac:dyDescent="0.3">
      <c r="A76" s="2">
        <v>45870</v>
      </c>
      <c r="B76" s="17" t="s">
        <v>22</v>
      </c>
      <c r="C76" s="3">
        <v>23</v>
      </c>
      <c r="D76" s="21">
        <v>8.5</v>
      </c>
    </row>
    <row r="77" spans="1:4" x14ac:dyDescent="0.3">
      <c r="A77" s="2">
        <v>45870</v>
      </c>
      <c r="B77" s="17" t="s">
        <v>16</v>
      </c>
      <c r="C77" s="3">
        <v>6</v>
      </c>
      <c r="D77" s="21">
        <v>30.53</v>
      </c>
    </row>
    <row r="78" spans="1:4" x14ac:dyDescent="0.3">
      <c r="A78" s="2">
        <v>45870</v>
      </c>
      <c r="B78" s="17" t="s">
        <v>23</v>
      </c>
      <c r="C78" s="3">
        <v>14</v>
      </c>
      <c r="D78" s="21">
        <v>14.23</v>
      </c>
    </row>
    <row r="79" spans="1:4" x14ac:dyDescent="0.3">
      <c r="A79" s="2">
        <v>45870</v>
      </c>
      <c r="B79" s="17" t="s">
        <v>17</v>
      </c>
      <c r="C79" s="3">
        <v>40</v>
      </c>
      <c r="D79" s="21">
        <v>4.96</v>
      </c>
    </row>
    <row r="80" spans="1:4" x14ac:dyDescent="0.3">
      <c r="A80" s="2">
        <v>45870</v>
      </c>
      <c r="B80" s="17" t="s">
        <v>18</v>
      </c>
      <c r="C80" s="3">
        <v>17</v>
      </c>
      <c r="D80" s="21">
        <v>11.73</v>
      </c>
    </row>
    <row r="81" spans="1:4" x14ac:dyDescent="0.3">
      <c r="A81" s="2">
        <v>45870</v>
      </c>
      <c r="B81" s="17" t="s">
        <v>19</v>
      </c>
      <c r="C81" s="3">
        <v>5</v>
      </c>
      <c r="D81" s="21">
        <v>35.24</v>
      </c>
    </row>
    <row r="82" spans="1:4" x14ac:dyDescent="0.3">
      <c r="A82" s="2">
        <v>45901</v>
      </c>
      <c r="B82" s="17" t="s">
        <v>12</v>
      </c>
      <c r="C82" s="3">
        <v>7</v>
      </c>
      <c r="D82" s="21">
        <v>26.36</v>
      </c>
    </row>
    <row r="83" spans="1:4" x14ac:dyDescent="0.3">
      <c r="A83" s="2">
        <v>45901</v>
      </c>
      <c r="B83" s="17" t="s">
        <v>13</v>
      </c>
      <c r="C83" s="3">
        <v>4</v>
      </c>
      <c r="D83" s="21">
        <v>42.7</v>
      </c>
    </row>
    <row r="84" spans="1:4" x14ac:dyDescent="0.3">
      <c r="A84" s="2">
        <v>45901</v>
      </c>
      <c r="B84" s="17" t="s">
        <v>14</v>
      </c>
      <c r="C84" s="3">
        <v>13</v>
      </c>
      <c r="D84" s="21">
        <v>14.58</v>
      </c>
    </row>
    <row r="85" spans="1:4" x14ac:dyDescent="0.3">
      <c r="A85" s="2">
        <v>45901</v>
      </c>
      <c r="B85" s="17" t="s">
        <v>11</v>
      </c>
      <c r="C85" s="3">
        <v>6</v>
      </c>
      <c r="D85" s="21">
        <v>28.8</v>
      </c>
    </row>
    <row r="86" spans="1:4" x14ac:dyDescent="0.3">
      <c r="A86" s="2">
        <v>45901</v>
      </c>
      <c r="B86" s="17" t="s">
        <v>22</v>
      </c>
      <c r="C86" s="3">
        <v>25</v>
      </c>
      <c r="D86" s="21">
        <v>7.78</v>
      </c>
    </row>
    <row r="87" spans="1:4" x14ac:dyDescent="0.3">
      <c r="A87" s="2">
        <v>45901</v>
      </c>
      <c r="B87" s="17" t="s">
        <v>16</v>
      </c>
      <c r="C87" s="3">
        <v>5</v>
      </c>
      <c r="D87" s="21">
        <v>33.74</v>
      </c>
    </row>
    <row r="88" spans="1:4" x14ac:dyDescent="0.3">
      <c r="A88" s="2">
        <v>45901</v>
      </c>
      <c r="B88" s="17" t="s">
        <v>23</v>
      </c>
      <c r="C88" s="3">
        <v>12</v>
      </c>
      <c r="D88" s="21">
        <v>16.190000000000001</v>
      </c>
    </row>
    <row r="89" spans="1:4" x14ac:dyDescent="0.3">
      <c r="A89" s="2">
        <v>45901</v>
      </c>
      <c r="B89" s="17" t="s">
        <v>17</v>
      </c>
      <c r="C89" s="3">
        <v>40</v>
      </c>
      <c r="D89" s="21">
        <v>4.8899999999999997</v>
      </c>
    </row>
    <row r="90" spans="1:4" x14ac:dyDescent="0.3">
      <c r="A90" s="2">
        <v>45901</v>
      </c>
      <c r="B90" s="17" t="s">
        <v>18</v>
      </c>
      <c r="C90" s="3">
        <v>15</v>
      </c>
      <c r="D90" s="21">
        <v>12.95</v>
      </c>
    </row>
    <row r="91" spans="1:4" x14ac:dyDescent="0.3">
      <c r="A91" s="2">
        <v>45901</v>
      </c>
      <c r="B91" s="17" t="s">
        <v>19</v>
      </c>
      <c r="C91" s="3">
        <v>5</v>
      </c>
      <c r="D91" s="21">
        <v>34.25</v>
      </c>
    </row>
    <row r="92" spans="1:4" x14ac:dyDescent="0.3">
      <c r="A92" s="2">
        <v>45931</v>
      </c>
      <c r="B92" s="17" t="s">
        <v>12</v>
      </c>
      <c r="C92" s="3">
        <v>8</v>
      </c>
      <c r="D92" s="21">
        <v>22.81</v>
      </c>
    </row>
    <row r="93" spans="1:4" x14ac:dyDescent="0.3">
      <c r="A93" s="2">
        <v>45931</v>
      </c>
      <c r="B93" s="17" t="s">
        <v>13</v>
      </c>
      <c r="C93" s="3">
        <v>4</v>
      </c>
      <c r="D93" s="21">
        <v>42.05</v>
      </c>
    </row>
    <row r="94" spans="1:4" x14ac:dyDescent="0.3">
      <c r="A94" s="2">
        <v>45931</v>
      </c>
      <c r="B94" s="17" t="s">
        <v>14</v>
      </c>
      <c r="C94" s="3">
        <v>14</v>
      </c>
      <c r="D94" s="21">
        <v>13.79</v>
      </c>
    </row>
    <row r="95" spans="1:4" x14ac:dyDescent="0.3">
      <c r="A95" s="2">
        <v>45931</v>
      </c>
      <c r="B95" s="17" t="s">
        <v>11</v>
      </c>
      <c r="C95" s="3">
        <v>7</v>
      </c>
      <c r="D95" s="21">
        <v>26.66</v>
      </c>
    </row>
    <row r="96" spans="1:4" x14ac:dyDescent="0.3">
      <c r="A96" s="2">
        <v>45931</v>
      </c>
      <c r="B96" s="17" t="s">
        <v>22</v>
      </c>
      <c r="C96" s="3">
        <v>33</v>
      </c>
      <c r="D96" s="21">
        <v>6.02</v>
      </c>
    </row>
    <row r="97" spans="1:4" x14ac:dyDescent="0.3">
      <c r="A97" s="2">
        <v>45931</v>
      </c>
      <c r="B97" s="17" t="s">
        <v>16</v>
      </c>
      <c r="C97" s="3">
        <v>6</v>
      </c>
      <c r="D97" s="21">
        <v>33.049999999999997</v>
      </c>
    </row>
    <row r="98" spans="1:4" x14ac:dyDescent="0.3">
      <c r="A98" s="2">
        <v>45931</v>
      </c>
      <c r="B98" s="17" t="s">
        <v>23</v>
      </c>
      <c r="C98" s="3">
        <v>12</v>
      </c>
      <c r="D98" s="21">
        <v>16.600000000000001</v>
      </c>
    </row>
    <row r="99" spans="1:4" x14ac:dyDescent="0.3">
      <c r="A99" s="2">
        <v>45931</v>
      </c>
      <c r="B99" s="17" t="s">
        <v>17</v>
      </c>
      <c r="C99" s="3">
        <v>41</v>
      </c>
      <c r="D99" s="21">
        <v>4.84</v>
      </c>
    </row>
    <row r="100" spans="1:4" x14ac:dyDescent="0.3">
      <c r="A100" s="2">
        <v>45931</v>
      </c>
      <c r="B100" s="17" t="s">
        <v>18</v>
      </c>
      <c r="C100" s="3">
        <v>15</v>
      </c>
      <c r="D100" s="21">
        <v>12.52</v>
      </c>
    </row>
    <row r="101" spans="1:4" x14ac:dyDescent="0.3">
      <c r="A101" s="2">
        <v>45931</v>
      </c>
      <c r="B101" s="17" t="s">
        <v>19</v>
      </c>
      <c r="C101" s="3">
        <v>6</v>
      </c>
      <c r="D101" s="21">
        <v>32.67</v>
      </c>
    </row>
    <row r="102" spans="1:4" x14ac:dyDescent="0.3">
      <c r="A102" s="2">
        <v>45964</v>
      </c>
      <c r="B102" s="17" t="s">
        <v>12</v>
      </c>
      <c r="C102" s="3">
        <v>8</v>
      </c>
      <c r="D102" s="21">
        <v>24.8</v>
      </c>
    </row>
    <row r="103" spans="1:4" x14ac:dyDescent="0.3">
      <c r="A103" s="2">
        <v>45964</v>
      </c>
      <c r="B103" s="17" t="s">
        <v>13</v>
      </c>
      <c r="C103" s="3">
        <v>4</v>
      </c>
      <c r="D103" s="21">
        <v>43.45</v>
      </c>
    </row>
    <row r="104" spans="1:4" x14ac:dyDescent="0.3">
      <c r="A104" s="2">
        <v>45964</v>
      </c>
      <c r="B104" s="17" t="s">
        <v>14</v>
      </c>
      <c r="C104" s="3">
        <v>13</v>
      </c>
      <c r="D104" s="21">
        <v>14.48</v>
      </c>
    </row>
    <row r="105" spans="1:4" x14ac:dyDescent="0.3">
      <c r="A105" s="2">
        <v>45964</v>
      </c>
      <c r="B105" s="17" t="s">
        <v>11</v>
      </c>
      <c r="C105" s="3">
        <v>7</v>
      </c>
      <c r="D105" s="21">
        <v>28.39</v>
      </c>
    </row>
    <row r="106" spans="1:4" x14ac:dyDescent="0.3">
      <c r="A106" s="2">
        <v>45964</v>
      </c>
      <c r="B106" s="17" t="s">
        <v>22</v>
      </c>
      <c r="C106" s="3">
        <v>27</v>
      </c>
      <c r="D106" s="21">
        <v>7.37</v>
      </c>
    </row>
    <row r="107" spans="1:4" x14ac:dyDescent="0.3">
      <c r="A107" s="2">
        <v>45964</v>
      </c>
      <c r="B107" s="17" t="s">
        <v>16</v>
      </c>
      <c r="C107" s="3">
        <v>5</v>
      </c>
      <c r="D107" s="21">
        <v>36.5</v>
      </c>
    </row>
    <row r="108" spans="1:4" x14ac:dyDescent="0.3">
      <c r="A108" s="2">
        <v>45964</v>
      </c>
      <c r="B108" s="17" t="s">
        <v>23</v>
      </c>
      <c r="C108" s="3">
        <v>12</v>
      </c>
      <c r="D108" s="21">
        <v>15.55</v>
      </c>
    </row>
    <row r="109" spans="1:4" x14ac:dyDescent="0.3">
      <c r="A109" s="2">
        <v>45964</v>
      </c>
      <c r="B109" s="17" t="s">
        <v>17</v>
      </c>
      <c r="C109" s="3">
        <v>41</v>
      </c>
      <c r="D109" s="21">
        <v>4.87</v>
      </c>
    </row>
    <row r="110" spans="1:4" x14ac:dyDescent="0.3">
      <c r="A110" s="2">
        <v>45964</v>
      </c>
      <c r="B110" s="17" t="s">
        <v>18</v>
      </c>
      <c r="C110" s="3">
        <v>16</v>
      </c>
      <c r="D110" s="21">
        <v>12.35</v>
      </c>
    </row>
    <row r="111" spans="1:4" x14ac:dyDescent="0.3">
      <c r="A111" s="2">
        <v>45964</v>
      </c>
      <c r="B111" s="17" t="s">
        <v>19</v>
      </c>
      <c r="C111" s="3">
        <v>6</v>
      </c>
      <c r="D111" s="21">
        <v>32.75</v>
      </c>
    </row>
    <row r="112" spans="1:4" x14ac:dyDescent="0.3">
      <c r="A112" s="2">
        <v>45992</v>
      </c>
      <c r="B112" s="17" t="s">
        <v>12</v>
      </c>
      <c r="C112" s="3">
        <v>8</v>
      </c>
      <c r="D112" s="21">
        <v>24.93</v>
      </c>
    </row>
    <row r="113" spans="1:4" x14ac:dyDescent="0.3">
      <c r="A113" s="2">
        <v>45992</v>
      </c>
      <c r="B113" s="17" t="s">
        <v>13</v>
      </c>
      <c r="C113" s="3">
        <v>4</v>
      </c>
      <c r="D113" s="21">
        <v>41.99</v>
      </c>
    </row>
    <row r="114" spans="1:4" x14ac:dyDescent="0.3">
      <c r="A114" s="2">
        <v>45992</v>
      </c>
      <c r="B114" s="17" t="s">
        <v>14</v>
      </c>
      <c r="C114" s="3">
        <v>13</v>
      </c>
      <c r="D114" s="21">
        <v>15</v>
      </c>
    </row>
    <row r="115" spans="1:4" x14ac:dyDescent="0.3">
      <c r="A115" s="2">
        <v>45992</v>
      </c>
      <c r="B115" s="17" t="s">
        <v>11</v>
      </c>
      <c r="C115" s="3">
        <v>6</v>
      </c>
      <c r="D115" s="21">
        <v>29.05</v>
      </c>
    </row>
    <row r="116" spans="1:4" x14ac:dyDescent="0.3">
      <c r="A116" s="2">
        <v>45992</v>
      </c>
      <c r="B116" s="17" t="s">
        <v>22</v>
      </c>
      <c r="C116" s="3">
        <v>25</v>
      </c>
      <c r="D116" s="21">
        <v>7.92</v>
      </c>
    </row>
    <row r="117" spans="1:4" x14ac:dyDescent="0.3">
      <c r="A117" s="2">
        <v>45992</v>
      </c>
      <c r="B117" s="17" t="s">
        <v>16</v>
      </c>
      <c r="C117" s="3">
        <v>5</v>
      </c>
      <c r="D117" s="21">
        <v>34.4</v>
      </c>
    </row>
    <row r="118" spans="1:4" x14ac:dyDescent="0.3">
      <c r="A118" s="2">
        <v>45992</v>
      </c>
      <c r="B118" s="17" t="s">
        <v>23</v>
      </c>
      <c r="C118" s="3">
        <v>14</v>
      </c>
      <c r="D118" s="21">
        <v>13.6</v>
      </c>
    </row>
    <row r="119" spans="1:4" x14ac:dyDescent="0.3">
      <c r="A119" s="2">
        <v>45992</v>
      </c>
      <c r="B119" s="17" t="s">
        <v>17</v>
      </c>
      <c r="C119" s="3">
        <v>40</v>
      </c>
      <c r="D119" s="21">
        <v>4.91</v>
      </c>
    </row>
    <row r="120" spans="1:4" x14ac:dyDescent="0.3">
      <c r="A120" s="2">
        <v>45992</v>
      </c>
      <c r="B120" s="17" t="s">
        <v>18</v>
      </c>
      <c r="C120" s="3">
        <v>17</v>
      </c>
      <c r="D120" s="21">
        <v>11.71</v>
      </c>
    </row>
    <row r="121" spans="1:4" x14ac:dyDescent="0.3">
      <c r="A121" s="2">
        <v>45992</v>
      </c>
      <c r="B121" s="17" t="s">
        <v>19</v>
      </c>
      <c r="C121" s="3">
        <v>6</v>
      </c>
      <c r="D121" s="21">
        <v>29.7</v>
      </c>
    </row>
    <row r="122" spans="1:4" x14ac:dyDescent="0.3">
      <c r="A122" s="2">
        <v>46024</v>
      </c>
      <c r="B122" s="17" t="s">
        <v>12</v>
      </c>
      <c r="C122" s="3">
        <v>8</v>
      </c>
      <c r="D122" s="21">
        <v>23.73</v>
      </c>
    </row>
    <row r="123" spans="1:4" x14ac:dyDescent="0.3">
      <c r="A123" s="2">
        <v>46024</v>
      </c>
      <c r="B123" s="17" t="s">
        <v>13</v>
      </c>
      <c r="C123" s="3">
        <v>4</v>
      </c>
      <c r="D123" s="21">
        <v>45.53</v>
      </c>
    </row>
    <row r="124" spans="1:4" x14ac:dyDescent="0.3">
      <c r="A124" s="2">
        <v>46024</v>
      </c>
      <c r="B124" s="17" t="s">
        <v>14</v>
      </c>
      <c r="C124" s="3">
        <v>14</v>
      </c>
      <c r="D124" s="21">
        <v>14.24</v>
      </c>
    </row>
    <row r="125" spans="1:4" x14ac:dyDescent="0.3">
      <c r="A125" s="2">
        <v>46024</v>
      </c>
      <c r="B125" s="17" t="s">
        <v>11</v>
      </c>
      <c r="C125" s="3">
        <v>6</v>
      </c>
      <c r="D125" s="21">
        <v>29.36</v>
      </c>
    </row>
    <row r="126" spans="1:4" x14ac:dyDescent="0.3">
      <c r="A126" s="2">
        <v>46024</v>
      </c>
      <c r="B126" s="17" t="s">
        <v>22</v>
      </c>
      <c r="C126" s="3">
        <v>28</v>
      </c>
      <c r="D126" s="21">
        <v>7.01</v>
      </c>
    </row>
    <row r="127" spans="1:4" x14ac:dyDescent="0.3">
      <c r="A127" s="2">
        <v>46024</v>
      </c>
      <c r="B127" s="17" t="s">
        <v>16</v>
      </c>
      <c r="C127" s="3">
        <v>5</v>
      </c>
      <c r="D127" s="21">
        <v>36.450000000000003</v>
      </c>
    </row>
    <row r="128" spans="1:4" x14ac:dyDescent="0.3">
      <c r="A128" s="2">
        <v>46024</v>
      </c>
      <c r="B128" s="17" t="s">
        <v>23</v>
      </c>
      <c r="C128" s="3">
        <v>16</v>
      </c>
      <c r="D128" s="21">
        <v>12.37</v>
      </c>
    </row>
    <row r="129" spans="1:4" x14ac:dyDescent="0.3">
      <c r="A129" s="2">
        <v>46024</v>
      </c>
      <c r="B129" s="17" t="s">
        <v>17</v>
      </c>
      <c r="C129" s="3">
        <v>41</v>
      </c>
      <c r="D129" s="21">
        <v>4.87</v>
      </c>
    </row>
    <row r="130" spans="1:4" x14ac:dyDescent="0.3">
      <c r="A130" s="2">
        <v>46024</v>
      </c>
      <c r="B130" s="17" t="s">
        <v>18</v>
      </c>
      <c r="C130" s="3">
        <v>17</v>
      </c>
      <c r="D130" s="21">
        <v>11.5</v>
      </c>
    </row>
    <row r="131" spans="1:4" x14ac:dyDescent="0.3">
      <c r="A131" s="2">
        <v>46024</v>
      </c>
      <c r="B131" s="17" t="s">
        <v>19</v>
      </c>
      <c r="C131" s="3">
        <v>6</v>
      </c>
      <c r="D131" s="21">
        <v>31</v>
      </c>
    </row>
    <row r="132" spans="1:4" x14ac:dyDescent="0.3">
      <c r="A132" s="2">
        <v>46055</v>
      </c>
      <c r="B132" s="17" t="s">
        <v>12</v>
      </c>
      <c r="C132" s="3">
        <v>7</v>
      </c>
      <c r="D132" s="21">
        <v>25.39</v>
      </c>
    </row>
    <row r="133" spans="1:4" x14ac:dyDescent="0.3">
      <c r="A133" s="2">
        <v>46055</v>
      </c>
      <c r="B133" s="17" t="s">
        <v>13</v>
      </c>
      <c r="C133" s="3">
        <v>4</v>
      </c>
      <c r="D133" s="21">
        <v>49.4</v>
      </c>
    </row>
    <row r="134" spans="1:4" x14ac:dyDescent="0.3">
      <c r="A134" s="2">
        <v>46055</v>
      </c>
      <c r="B134" s="17" t="s">
        <v>14</v>
      </c>
      <c r="C134" s="3">
        <v>14</v>
      </c>
      <c r="D134" s="21">
        <v>14.11</v>
      </c>
    </row>
    <row r="135" spans="1:4" x14ac:dyDescent="0.3">
      <c r="A135" s="2">
        <v>46055</v>
      </c>
      <c r="B135" s="17" t="s">
        <v>11</v>
      </c>
      <c r="C135" s="3">
        <v>6</v>
      </c>
      <c r="D135" s="21">
        <v>30.99</v>
      </c>
    </row>
    <row r="136" spans="1:4" x14ac:dyDescent="0.3">
      <c r="A136" s="2">
        <v>46055</v>
      </c>
      <c r="B136" s="17" t="s">
        <v>22</v>
      </c>
      <c r="C136" s="3">
        <v>29</v>
      </c>
      <c r="D136" s="21">
        <v>6.71</v>
      </c>
    </row>
    <row r="137" spans="1:4" x14ac:dyDescent="0.3">
      <c r="A137" s="2">
        <v>46055</v>
      </c>
      <c r="B137" s="17" t="s">
        <v>16</v>
      </c>
      <c r="C137" s="3">
        <v>5</v>
      </c>
      <c r="D137" s="21">
        <v>37.299999999999997</v>
      </c>
    </row>
    <row r="138" spans="1:4" x14ac:dyDescent="0.3">
      <c r="A138" s="2">
        <v>46055</v>
      </c>
      <c r="B138" s="17" t="s">
        <v>23</v>
      </c>
      <c r="C138" s="3">
        <v>15</v>
      </c>
      <c r="D138" s="21">
        <v>13.12</v>
      </c>
    </row>
    <row r="139" spans="1:4" x14ac:dyDescent="0.3">
      <c r="A139" s="2">
        <v>46055</v>
      </c>
      <c r="B139" s="17" t="s">
        <v>17</v>
      </c>
      <c r="C139" s="3">
        <v>40</v>
      </c>
      <c r="D139" s="21">
        <v>4.8899999999999997</v>
      </c>
    </row>
    <row r="140" spans="1:4" x14ac:dyDescent="0.3">
      <c r="A140" s="2">
        <v>46055</v>
      </c>
      <c r="B140" s="17" t="s">
        <v>18</v>
      </c>
      <c r="C140" s="3">
        <v>17</v>
      </c>
      <c r="D140" s="21">
        <v>11.69</v>
      </c>
    </row>
    <row r="141" spans="1:4" x14ac:dyDescent="0.3">
      <c r="A141" s="2">
        <v>46055</v>
      </c>
      <c r="B141" s="17" t="s">
        <v>19</v>
      </c>
      <c r="C141" s="3">
        <v>6</v>
      </c>
      <c r="D141" s="21">
        <v>31.21</v>
      </c>
    </row>
    <row r="142" spans="1:4" x14ac:dyDescent="0.3">
      <c r="A142" s="2">
        <v>46083</v>
      </c>
      <c r="B142" s="17" t="s">
        <v>12</v>
      </c>
      <c r="C142" s="3">
        <v>6</v>
      </c>
      <c r="D142" s="21">
        <v>30.68</v>
      </c>
    </row>
    <row r="143" spans="1:4" x14ac:dyDescent="0.3">
      <c r="A143" s="2">
        <v>46083</v>
      </c>
      <c r="B143" s="17" t="s">
        <v>13</v>
      </c>
      <c r="C143" s="3">
        <v>3</v>
      </c>
      <c r="D143" s="21">
        <v>57.1</v>
      </c>
    </row>
    <row r="144" spans="1:4" x14ac:dyDescent="0.3">
      <c r="A144" s="2">
        <v>46083</v>
      </c>
      <c r="B144" s="17" t="s">
        <v>14</v>
      </c>
      <c r="C144" s="3">
        <v>13</v>
      </c>
      <c r="D144" s="21">
        <v>14.45</v>
      </c>
    </row>
    <row r="145" spans="1:4" x14ac:dyDescent="0.3">
      <c r="A145" s="2">
        <v>46083</v>
      </c>
      <c r="B145" s="17" t="s">
        <v>11</v>
      </c>
      <c r="C145" s="3">
        <v>5</v>
      </c>
      <c r="D145" s="21">
        <v>35.799999999999997</v>
      </c>
    </row>
    <row r="146" spans="1:4" x14ac:dyDescent="0.3">
      <c r="A146" s="2">
        <v>46083</v>
      </c>
      <c r="B146" s="17" t="s">
        <v>22</v>
      </c>
      <c r="C146" s="3">
        <v>28</v>
      </c>
      <c r="D146" s="21">
        <v>7</v>
      </c>
    </row>
    <row r="147" spans="1:4" x14ac:dyDescent="0.3">
      <c r="A147" s="2">
        <v>46083</v>
      </c>
      <c r="B147" s="17" t="s">
        <v>16</v>
      </c>
      <c r="C147" s="3">
        <v>5</v>
      </c>
      <c r="D147" s="21">
        <v>39.6</v>
      </c>
    </row>
    <row r="148" spans="1:4" x14ac:dyDescent="0.3">
      <c r="A148" s="2">
        <v>46083</v>
      </c>
      <c r="B148" s="17" t="s">
        <v>23</v>
      </c>
      <c r="C148" s="3">
        <v>14</v>
      </c>
      <c r="D148" s="21">
        <v>13.67</v>
      </c>
    </row>
    <row r="149" spans="1:4" x14ac:dyDescent="0.3">
      <c r="A149" s="2">
        <v>46083</v>
      </c>
      <c r="B149" s="17" t="s">
        <v>17</v>
      </c>
      <c r="C149" s="3">
        <v>38</v>
      </c>
      <c r="D149" s="21">
        <v>5.18</v>
      </c>
    </row>
    <row r="150" spans="1:4" x14ac:dyDescent="0.3">
      <c r="A150" s="2">
        <v>46083</v>
      </c>
      <c r="B150" s="17" t="s">
        <v>18</v>
      </c>
      <c r="C150" s="3">
        <v>16</v>
      </c>
      <c r="D150" s="21">
        <v>11.93</v>
      </c>
    </row>
    <row r="151" spans="1:4" x14ac:dyDescent="0.3">
      <c r="A151" s="2">
        <v>46083</v>
      </c>
      <c r="B151" s="17" t="s">
        <v>19</v>
      </c>
      <c r="C151" s="3">
        <v>6</v>
      </c>
      <c r="D151" s="21">
        <v>29</v>
      </c>
    </row>
    <row r="152" spans="1:4" x14ac:dyDescent="0.3">
      <c r="A152" s="2">
        <v>46113</v>
      </c>
      <c r="B152" s="17" t="s">
        <v>12</v>
      </c>
      <c r="C152" s="3">
        <v>5</v>
      </c>
      <c r="D152" s="21">
        <v>34.04</v>
      </c>
    </row>
    <row r="153" spans="1:4" x14ac:dyDescent="0.3">
      <c r="A153" s="2">
        <v>46113</v>
      </c>
      <c r="B153" s="17" t="s">
        <v>13</v>
      </c>
      <c r="C153" s="3">
        <v>3</v>
      </c>
      <c r="D153" s="21">
        <v>52.5</v>
      </c>
    </row>
    <row r="154" spans="1:4" x14ac:dyDescent="0.3">
      <c r="A154" s="2">
        <v>46113</v>
      </c>
      <c r="B154" s="17" t="s">
        <v>14</v>
      </c>
      <c r="C154" s="3">
        <v>14</v>
      </c>
      <c r="D154" s="21">
        <v>14.1</v>
      </c>
    </row>
    <row r="155" spans="1:4" x14ac:dyDescent="0.3">
      <c r="A155" s="2">
        <v>46113</v>
      </c>
      <c r="B155" s="17" t="s">
        <v>11</v>
      </c>
      <c r="C155" s="3">
        <v>5</v>
      </c>
      <c r="D155" s="21">
        <v>36.450000000000003</v>
      </c>
    </row>
    <row r="156" spans="1:4" x14ac:dyDescent="0.3">
      <c r="A156" s="2">
        <v>46113</v>
      </c>
      <c r="B156" s="17" t="s">
        <v>22</v>
      </c>
      <c r="C156" s="3">
        <v>31</v>
      </c>
      <c r="D156" s="21">
        <v>6.36</v>
      </c>
    </row>
    <row r="157" spans="1:4" x14ac:dyDescent="0.3">
      <c r="A157" s="2">
        <v>46113</v>
      </c>
      <c r="B157" s="17" t="s">
        <v>16</v>
      </c>
      <c r="C157" s="3">
        <v>5</v>
      </c>
      <c r="D157" s="21">
        <v>36.299999999999997</v>
      </c>
    </row>
    <row r="158" spans="1:4" x14ac:dyDescent="0.3">
      <c r="A158" s="2">
        <v>46113</v>
      </c>
      <c r="B158" s="17" t="s">
        <v>23</v>
      </c>
      <c r="C158" s="3">
        <v>17</v>
      </c>
      <c r="D158" s="21">
        <v>11.57</v>
      </c>
    </row>
    <row r="159" spans="1:4" x14ac:dyDescent="0.3">
      <c r="A159" s="2">
        <v>46113</v>
      </c>
      <c r="B159" s="17" t="s">
        <v>17</v>
      </c>
      <c r="C159" s="3">
        <v>37</v>
      </c>
      <c r="D159" s="21">
        <v>5.3</v>
      </c>
    </row>
    <row r="160" spans="1:4" x14ac:dyDescent="0.3">
      <c r="A160" s="2">
        <v>46113</v>
      </c>
      <c r="B160" s="17" t="s">
        <v>18</v>
      </c>
      <c r="C160" s="3">
        <v>16</v>
      </c>
      <c r="D160" s="21">
        <v>12.35</v>
      </c>
    </row>
    <row r="161" spans="1:4" x14ac:dyDescent="0.3">
      <c r="A161" s="2">
        <v>46113</v>
      </c>
      <c r="B161" s="17" t="s">
        <v>19</v>
      </c>
      <c r="C161" s="3">
        <v>7</v>
      </c>
      <c r="D161" s="21">
        <v>25.9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42E8-4FAF-4E2C-81FE-568798858F27}">
  <dimension ref="A1:B11"/>
  <sheetViews>
    <sheetView zoomScale="146" zoomScaleNormal="146" workbookViewId="0">
      <selection activeCell="A10" sqref="A10"/>
    </sheetView>
  </sheetViews>
  <sheetFormatPr defaultRowHeight="15.6" x14ac:dyDescent="0.3"/>
  <cols>
    <col min="1" max="1" width="14.19921875" bestFit="1" customWidth="1"/>
    <col min="2" max="2" width="6.796875" style="1" bestFit="1" customWidth="1"/>
  </cols>
  <sheetData>
    <row r="1" spans="1:2" x14ac:dyDescent="0.3">
      <c r="A1" t="s">
        <v>24</v>
      </c>
      <c r="B1" s="1" t="s">
        <v>25</v>
      </c>
    </row>
    <row r="2" spans="1:2" x14ac:dyDescent="0.3">
      <c r="A2" t="s">
        <v>12</v>
      </c>
      <c r="B2" s="1">
        <v>30.65</v>
      </c>
    </row>
    <row r="3" spans="1:2" x14ac:dyDescent="0.3">
      <c r="A3" t="s">
        <v>13</v>
      </c>
      <c r="B3" s="1">
        <v>60.55</v>
      </c>
    </row>
    <row r="4" spans="1:2" x14ac:dyDescent="0.3">
      <c r="A4" t="s">
        <v>14</v>
      </c>
      <c r="B4" s="1">
        <v>14.54</v>
      </c>
    </row>
    <row r="5" spans="1:2" x14ac:dyDescent="0.3">
      <c r="A5" t="s">
        <v>11</v>
      </c>
      <c r="B5" s="1">
        <v>34.94</v>
      </c>
    </row>
    <row r="6" spans="1:2" x14ac:dyDescent="0.3">
      <c r="A6" t="s">
        <v>22</v>
      </c>
      <c r="B6" s="1">
        <v>6.49</v>
      </c>
    </row>
    <row r="7" spans="1:2" x14ac:dyDescent="0.3">
      <c r="A7" t="s">
        <v>16</v>
      </c>
      <c r="B7" s="1">
        <v>34.89</v>
      </c>
    </row>
    <row r="8" spans="1:2" x14ac:dyDescent="0.3">
      <c r="A8" t="s">
        <v>23</v>
      </c>
      <c r="B8" s="1">
        <v>14.98</v>
      </c>
    </row>
    <row r="9" spans="1:2" x14ac:dyDescent="0.3">
      <c r="A9" t="s">
        <v>17</v>
      </c>
      <c r="B9" s="1">
        <v>5.23</v>
      </c>
    </row>
    <row r="10" spans="1:2" x14ac:dyDescent="0.3">
      <c r="A10" t="s">
        <v>18</v>
      </c>
      <c r="B10" s="1">
        <v>10.89</v>
      </c>
    </row>
    <row r="11" spans="1:2" x14ac:dyDescent="0.3">
      <c r="A11" t="s">
        <v>19</v>
      </c>
      <c r="B11" s="1">
        <v>30.77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D9C8-7660-4EB9-BD50-CEDB20C891E2}">
  <dimension ref="A1:E731"/>
  <sheetViews>
    <sheetView tabSelected="1" workbookViewId="0">
      <selection sqref="A1:A1048576"/>
    </sheetView>
  </sheetViews>
  <sheetFormatPr defaultRowHeight="15.6" x14ac:dyDescent="0.3"/>
  <cols>
    <col min="1" max="1" width="15.5" style="2" customWidth="1"/>
    <col min="2" max="2" width="17.09765625" customWidth="1"/>
    <col min="3" max="3" width="21.19921875" customWidth="1"/>
    <col min="4" max="4" width="17.296875" customWidth="1"/>
    <col min="5" max="5" width="9.296875" bestFit="1" customWidth="1"/>
  </cols>
  <sheetData>
    <row r="1" spans="1:5" x14ac:dyDescent="0.3">
      <c r="A1" s="2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">
      <c r="A2" s="2">
        <v>45658</v>
      </c>
      <c r="B2">
        <v>2025</v>
      </c>
      <c r="C2">
        <v>1</v>
      </c>
      <c r="D2" s="29" t="s">
        <v>34</v>
      </c>
      <c r="E2" s="29" t="s">
        <v>35</v>
      </c>
    </row>
    <row r="3" spans="1:5" x14ac:dyDescent="0.3">
      <c r="A3" s="2">
        <v>45659</v>
      </c>
      <c r="B3">
        <v>2025</v>
      </c>
      <c r="C3">
        <v>1</v>
      </c>
      <c r="D3" s="29" t="s">
        <v>34</v>
      </c>
      <c r="E3" s="29" t="s">
        <v>35</v>
      </c>
    </row>
    <row r="4" spans="1:5" x14ac:dyDescent="0.3">
      <c r="A4" s="2">
        <v>45660</v>
      </c>
      <c r="B4">
        <v>2025</v>
      </c>
      <c r="C4">
        <v>1</v>
      </c>
      <c r="D4" s="29" t="s">
        <v>34</v>
      </c>
      <c r="E4" s="29" t="s">
        <v>35</v>
      </c>
    </row>
    <row r="5" spans="1:5" x14ac:dyDescent="0.3">
      <c r="A5" s="2">
        <v>45661</v>
      </c>
      <c r="B5">
        <v>2025</v>
      </c>
      <c r="C5">
        <v>1</v>
      </c>
      <c r="D5" s="29" t="s">
        <v>34</v>
      </c>
      <c r="E5" s="29" t="s">
        <v>35</v>
      </c>
    </row>
    <row r="6" spans="1:5" x14ac:dyDescent="0.3">
      <c r="A6" s="2">
        <v>45662</v>
      </c>
      <c r="B6">
        <v>2025</v>
      </c>
      <c r="C6">
        <v>1</v>
      </c>
      <c r="D6" s="29" t="s">
        <v>34</v>
      </c>
      <c r="E6" s="29" t="s">
        <v>35</v>
      </c>
    </row>
    <row r="7" spans="1:5" x14ac:dyDescent="0.3">
      <c r="A7" s="2">
        <v>45663</v>
      </c>
      <c r="B7">
        <v>2025</v>
      </c>
      <c r="C7">
        <v>1</v>
      </c>
      <c r="D7" s="29" t="s">
        <v>34</v>
      </c>
      <c r="E7" s="29" t="s">
        <v>35</v>
      </c>
    </row>
    <row r="8" spans="1:5" x14ac:dyDescent="0.3">
      <c r="A8" s="2">
        <v>45664</v>
      </c>
      <c r="B8">
        <v>2025</v>
      </c>
      <c r="C8">
        <v>1</v>
      </c>
      <c r="D8" s="29" t="s">
        <v>34</v>
      </c>
      <c r="E8" s="29" t="s">
        <v>35</v>
      </c>
    </row>
    <row r="9" spans="1:5" x14ac:dyDescent="0.3">
      <c r="A9" s="2">
        <v>45665</v>
      </c>
      <c r="B9">
        <v>2025</v>
      </c>
      <c r="C9">
        <v>1</v>
      </c>
      <c r="D9" s="29" t="s">
        <v>34</v>
      </c>
      <c r="E9" s="29" t="s">
        <v>35</v>
      </c>
    </row>
    <row r="10" spans="1:5" x14ac:dyDescent="0.3">
      <c r="A10" s="2">
        <v>45666</v>
      </c>
      <c r="B10">
        <v>2025</v>
      </c>
      <c r="C10">
        <v>1</v>
      </c>
      <c r="D10" s="29" t="s">
        <v>34</v>
      </c>
      <c r="E10" s="29" t="s">
        <v>35</v>
      </c>
    </row>
    <row r="11" spans="1:5" x14ac:dyDescent="0.3">
      <c r="A11" s="2">
        <v>45667</v>
      </c>
      <c r="B11">
        <v>2025</v>
      </c>
      <c r="C11">
        <v>1</v>
      </c>
      <c r="D11" s="29" t="s">
        <v>34</v>
      </c>
      <c r="E11" s="29" t="s">
        <v>35</v>
      </c>
    </row>
    <row r="12" spans="1:5" x14ac:dyDescent="0.3">
      <c r="A12" s="2">
        <v>45668</v>
      </c>
      <c r="B12">
        <v>2025</v>
      </c>
      <c r="C12">
        <v>1</v>
      </c>
      <c r="D12" s="29" t="s">
        <v>34</v>
      </c>
      <c r="E12" s="29" t="s">
        <v>35</v>
      </c>
    </row>
    <row r="13" spans="1:5" x14ac:dyDescent="0.3">
      <c r="A13" s="2">
        <v>45669</v>
      </c>
      <c r="B13">
        <v>2025</v>
      </c>
      <c r="C13">
        <v>1</v>
      </c>
      <c r="D13" s="29" t="s">
        <v>34</v>
      </c>
      <c r="E13" s="29" t="s">
        <v>35</v>
      </c>
    </row>
    <row r="14" spans="1:5" x14ac:dyDescent="0.3">
      <c r="A14" s="2">
        <v>45670</v>
      </c>
      <c r="B14">
        <v>2025</v>
      </c>
      <c r="C14">
        <v>1</v>
      </c>
      <c r="D14" s="29" t="s">
        <v>34</v>
      </c>
      <c r="E14" s="29" t="s">
        <v>35</v>
      </c>
    </row>
    <row r="15" spans="1:5" x14ac:dyDescent="0.3">
      <c r="A15" s="2">
        <v>45671</v>
      </c>
      <c r="B15">
        <v>2025</v>
      </c>
      <c r="C15">
        <v>1</v>
      </c>
      <c r="D15" s="29" t="s">
        <v>34</v>
      </c>
      <c r="E15" s="29" t="s">
        <v>35</v>
      </c>
    </row>
    <row r="16" spans="1:5" x14ac:dyDescent="0.3">
      <c r="A16" s="2">
        <v>45672</v>
      </c>
      <c r="B16">
        <v>2025</v>
      </c>
      <c r="C16">
        <v>1</v>
      </c>
      <c r="D16" s="29" t="s">
        <v>34</v>
      </c>
      <c r="E16" s="29" t="s">
        <v>35</v>
      </c>
    </row>
    <row r="17" spans="1:5" x14ac:dyDescent="0.3">
      <c r="A17" s="2">
        <v>45673</v>
      </c>
      <c r="B17">
        <v>2025</v>
      </c>
      <c r="C17">
        <v>1</v>
      </c>
      <c r="D17" s="29" t="s">
        <v>34</v>
      </c>
      <c r="E17" s="29" t="s">
        <v>35</v>
      </c>
    </row>
    <row r="18" spans="1:5" x14ac:dyDescent="0.3">
      <c r="A18" s="2">
        <v>45674</v>
      </c>
      <c r="B18">
        <v>2025</v>
      </c>
      <c r="C18">
        <v>1</v>
      </c>
      <c r="D18" s="29" t="s">
        <v>34</v>
      </c>
      <c r="E18" s="29" t="s">
        <v>35</v>
      </c>
    </row>
    <row r="19" spans="1:5" x14ac:dyDescent="0.3">
      <c r="A19" s="2">
        <v>45675</v>
      </c>
      <c r="B19">
        <v>2025</v>
      </c>
      <c r="C19">
        <v>1</v>
      </c>
      <c r="D19" s="29" t="s">
        <v>34</v>
      </c>
      <c r="E19" s="29" t="s">
        <v>35</v>
      </c>
    </row>
    <row r="20" spans="1:5" x14ac:dyDescent="0.3">
      <c r="A20" s="2">
        <v>45676</v>
      </c>
      <c r="B20">
        <v>2025</v>
      </c>
      <c r="C20">
        <v>1</v>
      </c>
      <c r="D20" s="29" t="s">
        <v>34</v>
      </c>
      <c r="E20" s="29" t="s">
        <v>35</v>
      </c>
    </row>
    <row r="21" spans="1:5" x14ac:dyDescent="0.3">
      <c r="A21" s="2">
        <v>45677</v>
      </c>
      <c r="B21">
        <v>2025</v>
      </c>
      <c r="C21">
        <v>1</v>
      </c>
      <c r="D21" s="29" t="s">
        <v>34</v>
      </c>
      <c r="E21" s="29" t="s">
        <v>35</v>
      </c>
    </row>
    <row r="22" spans="1:5" x14ac:dyDescent="0.3">
      <c r="A22" s="2">
        <v>45678</v>
      </c>
      <c r="B22">
        <v>2025</v>
      </c>
      <c r="C22">
        <v>1</v>
      </c>
      <c r="D22" s="29" t="s">
        <v>34</v>
      </c>
      <c r="E22" s="29" t="s">
        <v>35</v>
      </c>
    </row>
    <row r="23" spans="1:5" x14ac:dyDescent="0.3">
      <c r="A23" s="2">
        <v>45679</v>
      </c>
      <c r="B23">
        <v>2025</v>
      </c>
      <c r="C23">
        <v>1</v>
      </c>
      <c r="D23" s="29" t="s">
        <v>34</v>
      </c>
      <c r="E23" s="29" t="s">
        <v>35</v>
      </c>
    </row>
    <row r="24" spans="1:5" x14ac:dyDescent="0.3">
      <c r="A24" s="2">
        <v>45680</v>
      </c>
      <c r="B24">
        <v>2025</v>
      </c>
      <c r="C24">
        <v>1</v>
      </c>
      <c r="D24" s="29" t="s">
        <v>34</v>
      </c>
      <c r="E24" s="29" t="s">
        <v>35</v>
      </c>
    </row>
    <row r="25" spans="1:5" x14ac:dyDescent="0.3">
      <c r="A25" s="2">
        <v>45681</v>
      </c>
      <c r="B25">
        <v>2025</v>
      </c>
      <c r="C25">
        <v>1</v>
      </c>
      <c r="D25" s="29" t="s">
        <v>34</v>
      </c>
      <c r="E25" s="29" t="s">
        <v>35</v>
      </c>
    </row>
    <row r="26" spans="1:5" x14ac:dyDescent="0.3">
      <c r="A26" s="2">
        <v>45682</v>
      </c>
      <c r="B26">
        <v>2025</v>
      </c>
      <c r="C26">
        <v>1</v>
      </c>
      <c r="D26" s="29" t="s">
        <v>34</v>
      </c>
      <c r="E26" s="29" t="s">
        <v>35</v>
      </c>
    </row>
    <row r="27" spans="1:5" x14ac:dyDescent="0.3">
      <c r="A27" s="2">
        <v>45683</v>
      </c>
      <c r="B27">
        <v>2025</v>
      </c>
      <c r="C27">
        <v>1</v>
      </c>
      <c r="D27" s="29" t="s">
        <v>34</v>
      </c>
      <c r="E27" s="29" t="s">
        <v>35</v>
      </c>
    </row>
    <row r="28" spans="1:5" x14ac:dyDescent="0.3">
      <c r="A28" s="2">
        <v>45684</v>
      </c>
      <c r="B28">
        <v>2025</v>
      </c>
      <c r="C28">
        <v>1</v>
      </c>
      <c r="D28" s="29" t="s">
        <v>34</v>
      </c>
      <c r="E28" s="29" t="s">
        <v>35</v>
      </c>
    </row>
    <row r="29" spans="1:5" x14ac:dyDescent="0.3">
      <c r="A29" s="2">
        <v>45685</v>
      </c>
      <c r="B29">
        <v>2025</v>
      </c>
      <c r="C29">
        <v>1</v>
      </c>
      <c r="D29" s="29" t="s">
        <v>34</v>
      </c>
      <c r="E29" s="29" t="s">
        <v>35</v>
      </c>
    </row>
    <row r="30" spans="1:5" x14ac:dyDescent="0.3">
      <c r="A30" s="2">
        <v>45686</v>
      </c>
      <c r="B30">
        <v>2025</v>
      </c>
      <c r="C30">
        <v>1</v>
      </c>
      <c r="D30" s="29" t="s">
        <v>34</v>
      </c>
      <c r="E30" s="29" t="s">
        <v>35</v>
      </c>
    </row>
    <row r="31" spans="1:5" x14ac:dyDescent="0.3">
      <c r="A31" s="2">
        <v>45687</v>
      </c>
      <c r="B31">
        <v>2025</v>
      </c>
      <c r="C31">
        <v>1</v>
      </c>
      <c r="D31" s="29" t="s">
        <v>34</v>
      </c>
      <c r="E31" s="29" t="s">
        <v>35</v>
      </c>
    </row>
    <row r="32" spans="1:5" x14ac:dyDescent="0.3">
      <c r="A32" s="2">
        <v>45688</v>
      </c>
      <c r="B32">
        <v>2025</v>
      </c>
      <c r="C32">
        <v>1</v>
      </c>
      <c r="D32" s="29" t="s">
        <v>34</v>
      </c>
      <c r="E32" s="29" t="s">
        <v>35</v>
      </c>
    </row>
    <row r="33" spans="1:5" x14ac:dyDescent="0.3">
      <c r="A33" s="2">
        <v>45689</v>
      </c>
      <c r="B33">
        <v>2025</v>
      </c>
      <c r="C33">
        <v>2</v>
      </c>
      <c r="D33" s="29" t="s">
        <v>36</v>
      </c>
      <c r="E33" s="29" t="s">
        <v>35</v>
      </c>
    </row>
    <row r="34" spans="1:5" x14ac:dyDescent="0.3">
      <c r="A34" s="2">
        <v>45690</v>
      </c>
      <c r="B34">
        <v>2025</v>
      </c>
      <c r="C34">
        <v>2</v>
      </c>
      <c r="D34" s="29" t="s">
        <v>36</v>
      </c>
      <c r="E34" s="29" t="s">
        <v>35</v>
      </c>
    </row>
    <row r="35" spans="1:5" x14ac:dyDescent="0.3">
      <c r="A35" s="2">
        <v>45691</v>
      </c>
      <c r="B35">
        <v>2025</v>
      </c>
      <c r="C35">
        <v>2</v>
      </c>
      <c r="D35" s="29" t="s">
        <v>36</v>
      </c>
      <c r="E35" s="29" t="s">
        <v>35</v>
      </c>
    </row>
    <row r="36" spans="1:5" x14ac:dyDescent="0.3">
      <c r="A36" s="2">
        <v>45692</v>
      </c>
      <c r="B36">
        <v>2025</v>
      </c>
      <c r="C36">
        <v>2</v>
      </c>
      <c r="D36" s="29" t="s">
        <v>36</v>
      </c>
      <c r="E36" s="29" t="s">
        <v>35</v>
      </c>
    </row>
    <row r="37" spans="1:5" x14ac:dyDescent="0.3">
      <c r="A37" s="2">
        <v>45693</v>
      </c>
      <c r="B37">
        <v>2025</v>
      </c>
      <c r="C37">
        <v>2</v>
      </c>
      <c r="D37" s="29" t="s">
        <v>36</v>
      </c>
      <c r="E37" s="29" t="s">
        <v>35</v>
      </c>
    </row>
    <row r="38" spans="1:5" x14ac:dyDescent="0.3">
      <c r="A38" s="2">
        <v>45694</v>
      </c>
      <c r="B38">
        <v>2025</v>
      </c>
      <c r="C38">
        <v>2</v>
      </c>
      <c r="D38" s="29" t="s">
        <v>36</v>
      </c>
      <c r="E38" s="29" t="s">
        <v>35</v>
      </c>
    </row>
    <row r="39" spans="1:5" x14ac:dyDescent="0.3">
      <c r="A39" s="2">
        <v>45695</v>
      </c>
      <c r="B39">
        <v>2025</v>
      </c>
      <c r="C39">
        <v>2</v>
      </c>
      <c r="D39" s="29" t="s">
        <v>36</v>
      </c>
      <c r="E39" s="29" t="s">
        <v>35</v>
      </c>
    </row>
    <row r="40" spans="1:5" x14ac:dyDescent="0.3">
      <c r="A40" s="2">
        <v>45696</v>
      </c>
      <c r="B40">
        <v>2025</v>
      </c>
      <c r="C40">
        <v>2</v>
      </c>
      <c r="D40" s="29" t="s">
        <v>36</v>
      </c>
      <c r="E40" s="29" t="s">
        <v>35</v>
      </c>
    </row>
    <row r="41" spans="1:5" x14ac:dyDescent="0.3">
      <c r="A41" s="2">
        <v>45697</v>
      </c>
      <c r="B41">
        <v>2025</v>
      </c>
      <c r="C41">
        <v>2</v>
      </c>
      <c r="D41" s="29" t="s">
        <v>36</v>
      </c>
      <c r="E41" s="29" t="s">
        <v>35</v>
      </c>
    </row>
    <row r="42" spans="1:5" x14ac:dyDescent="0.3">
      <c r="A42" s="2">
        <v>45698</v>
      </c>
      <c r="B42">
        <v>2025</v>
      </c>
      <c r="C42">
        <v>2</v>
      </c>
      <c r="D42" s="29" t="s">
        <v>36</v>
      </c>
      <c r="E42" s="29" t="s">
        <v>35</v>
      </c>
    </row>
    <row r="43" spans="1:5" x14ac:dyDescent="0.3">
      <c r="A43" s="2">
        <v>45699</v>
      </c>
      <c r="B43">
        <v>2025</v>
      </c>
      <c r="C43">
        <v>2</v>
      </c>
      <c r="D43" s="29" t="s">
        <v>36</v>
      </c>
      <c r="E43" s="29" t="s">
        <v>35</v>
      </c>
    </row>
    <row r="44" spans="1:5" x14ac:dyDescent="0.3">
      <c r="A44" s="2">
        <v>45700</v>
      </c>
      <c r="B44">
        <v>2025</v>
      </c>
      <c r="C44">
        <v>2</v>
      </c>
      <c r="D44" s="29" t="s">
        <v>36</v>
      </c>
      <c r="E44" s="29" t="s">
        <v>35</v>
      </c>
    </row>
    <row r="45" spans="1:5" x14ac:dyDescent="0.3">
      <c r="A45" s="2">
        <v>45701</v>
      </c>
      <c r="B45">
        <v>2025</v>
      </c>
      <c r="C45">
        <v>2</v>
      </c>
      <c r="D45" s="29" t="s">
        <v>36</v>
      </c>
      <c r="E45" s="29" t="s">
        <v>35</v>
      </c>
    </row>
    <row r="46" spans="1:5" x14ac:dyDescent="0.3">
      <c r="A46" s="2">
        <v>45702</v>
      </c>
      <c r="B46">
        <v>2025</v>
      </c>
      <c r="C46">
        <v>2</v>
      </c>
      <c r="D46" s="29" t="s">
        <v>36</v>
      </c>
      <c r="E46" s="29" t="s">
        <v>35</v>
      </c>
    </row>
    <row r="47" spans="1:5" x14ac:dyDescent="0.3">
      <c r="A47" s="2">
        <v>45703</v>
      </c>
      <c r="B47">
        <v>2025</v>
      </c>
      <c r="C47">
        <v>2</v>
      </c>
      <c r="D47" s="29" t="s">
        <v>36</v>
      </c>
      <c r="E47" s="29" t="s">
        <v>35</v>
      </c>
    </row>
    <row r="48" spans="1:5" x14ac:dyDescent="0.3">
      <c r="A48" s="2">
        <v>45704</v>
      </c>
      <c r="B48">
        <v>2025</v>
      </c>
      <c r="C48">
        <v>2</v>
      </c>
      <c r="D48" s="29" t="s">
        <v>36</v>
      </c>
      <c r="E48" s="29" t="s">
        <v>35</v>
      </c>
    </row>
    <row r="49" spans="1:5" x14ac:dyDescent="0.3">
      <c r="A49" s="2">
        <v>45705</v>
      </c>
      <c r="B49">
        <v>2025</v>
      </c>
      <c r="C49">
        <v>2</v>
      </c>
      <c r="D49" s="29" t="s">
        <v>36</v>
      </c>
      <c r="E49" s="29" t="s">
        <v>35</v>
      </c>
    </row>
    <row r="50" spans="1:5" x14ac:dyDescent="0.3">
      <c r="A50" s="2">
        <v>45706</v>
      </c>
      <c r="B50">
        <v>2025</v>
      </c>
      <c r="C50">
        <v>2</v>
      </c>
      <c r="D50" s="29" t="s">
        <v>36</v>
      </c>
      <c r="E50" s="29" t="s">
        <v>35</v>
      </c>
    </row>
    <row r="51" spans="1:5" x14ac:dyDescent="0.3">
      <c r="A51" s="2">
        <v>45707</v>
      </c>
      <c r="B51">
        <v>2025</v>
      </c>
      <c r="C51">
        <v>2</v>
      </c>
      <c r="D51" s="29" t="s">
        <v>36</v>
      </c>
      <c r="E51" s="29" t="s">
        <v>35</v>
      </c>
    </row>
    <row r="52" spans="1:5" x14ac:dyDescent="0.3">
      <c r="A52" s="2">
        <v>45708</v>
      </c>
      <c r="B52">
        <v>2025</v>
      </c>
      <c r="C52">
        <v>2</v>
      </c>
      <c r="D52" s="29" t="s">
        <v>36</v>
      </c>
      <c r="E52" s="29" t="s">
        <v>35</v>
      </c>
    </row>
    <row r="53" spans="1:5" x14ac:dyDescent="0.3">
      <c r="A53" s="2">
        <v>45709</v>
      </c>
      <c r="B53">
        <v>2025</v>
      </c>
      <c r="C53">
        <v>2</v>
      </c>
      <c r="D53" s="29" t="s">
        <v>36</v>
      </c>
      <c r="E53" s="29" t="s">
        <v>35</v>
      </c>
    </row>
    <row r="54" spans="1:5" x14ac:dyDescent="0.3">
      <c r="A54" s="2">
        <v>45710</v>
      </c>
      <c r="B54">
        <v>2025</v>
      </c>
      <c r="C54">
        <v>2</v>
      </c>
      <c r="D54" s="29" t="s">
        <v>36</v>
      </c>
      <c r="E54" s="29" t="s">
        <v>35</v>
      </c>
    </row>
    <row r="55" spans="1:5" x14ac:dyDescent="0.3">
      <c r="A55" s="2">
        <v>45711</v>
      </c>
      <c r="B55">
        <v>2025</v>
      </c>
      <c r="C55">
        <v>2</v>
      </c>
      <c r="D55" s="29" t="s">
        <v>36</v>
      </c>
      <c r="E55" s="29" t="s">
        <v>35</v>
      </c>
    </row>
    <row r="56" spans="1:5" x14ac:dyDescent="0.3">
      <c r="A56" s="2">
        <v>45712</v>
      </c>
      <c r="B56">
        <v>2025</v>
      </c>
      <c r="C56">
        <v>2</v>
      </c>
      <c r="D56" s="29" t="s">
        <v>36</v>
      </c>
      <c r="E56" s="29" t="s">
        <v>35</v>
      </c>
    </row>
    <row r="57" spans="1:5" x14ac:dyDescent="0.3">
      <c r="A57" s="2">
        <v>45713</v>
      </c>
      <c r="B57">
        <v>2025</v>
      </c>
      <c r="C57">
        <v>2</v>
      </c>
      <c r="D57" s="29" t="s">
        <v>36</v>
      </c>
      <c r="E57" s="29" t="s">
        <v>35</v>
      </c>
    </row>
    <row r="58" spans="1:5" x14ac:dyDescent="0.3">
      <c r="A58" s="2">
        <v>45714</v>
      </c>
      <c r="B58">
        <v>2025</v>
      </c>
      <c r="C58">
        <v>2</v>
      </c>
      <c r="D58" s="29" t="s">
        <v>36</v>
      </c>
      <c r="E58" s="29" t="s">
        <v>35</v>
      </c>
    </row>
    <row r="59" spans="1:5" x14ac:dyDescent="0.3">
      <c r="A59" s="2">
        <v>45715</v>
      </c>
      <c r="B59">
        <v>2025</v>
      </c>
      <c r="C59">
        <v>2</v>
      </c>
      <c r="D59" s="29" t="s">
        <v>36</v>
      </c>
      <c r="E59" s="29" t="s">
        <v>35</v>
      </c>
    </row>
    <row r="60" spans="1:5" x14ac:dyDescent="0.3">
      <c r="A60" s="2">
        <v>45716</v>
      </c>
      <c r="B60">
        <v>2025</v>
      </c>
      <c r="C60">
        <v>2</v>
      </c>
      <c r="D60" s="29" t="s">
        <v>36</v>
      </c>
      <c r="E60" s="29" t="s">
        <v>35</v>
      </c>
    </row>
    <row r="61" spans="1:5" x14ac:dyDescent="0.3">
      <c r="A61" s="2">
        <v>45717</v>
      </c>
      <c r="B61">
        <v>2025</v>
      </c>
      <c r="C61">
        <v>3</v>
      </c>
      <c r="D61" s="29" t="s">
        <v>37</v>
      </c>
      <c r="E61" s="29" t="s">
        <v>35</v>
      </c>
    </row>
    <row r="62" spans="1:5" x14ac:dyDescent="0.3">
      <c r="A62" s="2">
        <v>45718</v>
      </c>
      <c r="B62">
        <v>2025</v>
      </c>
      <c r="C62">
        <v>3</v>
      </c>
      <c r="D62" s="29" t="s">
        <v>37</v>
      </c>
      <c r="E62" s="29" t="s">
        <v>35</v>
      </c>
    </row>
    <row r="63" spans="1:5" x14ac:dyDescent="0.3">
      <c r="A63" s="2">
        <v>45719</v>
      </c>
      <c r="B63">
        <v>2025</v>
      </c>
      <c r="C63">
        <v>3</v>
      </c>
      <c r="D63" s="29" t="s">
        <v>37</v>
      </c>
      <c r="E63" s="29" t="s">
        <v>35</v>
      </c>
    </row>
    <row r="64" spans="1:5" x14ac:dyDescent="0.3">
      <c r="A64" s="2">
        <v>45720</v>
      </c>
      <c r="B64">
        <v>2025</v>
      </c>
      <c r="C64">
        <v>3</v>
      </c>
      <c r="D64" s="29" t="s">
        <v>37</v>
      </c>
      <c r="E64" s="29" t="s">
        <v>35</v>
      </c>
    </row>
    <row r="65" spans="1:5" x14ac:dyDescent="0.3">
      <c r="A65" s="2">
        <v>45721</v>
      </c>
      <c r="B65">
        <v>2025</v>
      </c>
      <c r="C65">
        <v>3</v>
      </c>
      <c r="D65" s="29" t="s">
        <v>37</v>
      </c>
      <c r="E65" s="29" t="s">
        <v>35</v>
      </c>
    </row>
    <row r="66" spans="1:5" x14ac:dyDescent="0.3">
      <c r="A66" s="2">
        <v>45722</v>
      </c>
      <c r="B66">
        <v>2025</v>
      </c>
      <c r="C66">
        <v>3</v>
      </c>
      <c r="D66" s="29" t="s">
        <v>37</v>
      </c>
      <c r="E66" s="29" t="s">
        <v>35</v>
      </c>
    </row>
    <row r="67" spans="1:5" x14ac:dyDescent="0.3">
      <c r="A67" s="2">
        <v>45723</v>
      </c>
      <c r="B67">
        <v>2025</v>
      </c>
      <c r="C67">
        <v>3</v>
      </c>
      <c r="D67" s="29" t="s">
        <v>37</v>
      </c>
      <c r="E67" s="29" t="s">
        <v>35</v>
      </c>
    </row>
    <row r="68" spans="1:5" x14ac:dyDescent="0.3">
      <c r="A68" s="2">
        <v>45724</v>
      </c>
      <c r="B68">
        <v>2025</v>
      </c>
      <c r="C68">
        <v>3</v>
      </c>
      <c r="D68" s="29" t="s">
        <v>37</v>
      </c>
      <c r="E68" s="29" t="s">
        <v>35</v>
      </c>
    </row>
    <row r="69" spans="1:5" x14ac:dyDescent="0.3">
      <c r="A69" s="2">
        <v>45725</v>
      </c>
      <c r="B69">
        <v>2025</v>
      </c>
      <c r="C69">
        <v>3</v>
      </c>
      <c r="D69" s="29" t="s">
        <v>37</v>
      </c>
      <c r="E69" s="29" t="s">
        <v>35</v>
      </c>
    </row>
    <row r="70" spans="1:5" x14ac:dyDescent="0.3">
      <c r="A70" s="2">
        <v>45726</v>
      </c>
      <c r="B70">
        <v>2025</v>
      </c>
      <c r="C70">
        <v>3</v>
      </c>
      <c r="D70" s="29" t="s">
        <v>37</v>
      </c>
      <c r="E70" s="29" t="s">
        <v>35</v>
      </c>
    </row>
    <row r="71" spans="1:5" x14ac:dyDescent="0.3">
      <c r="A71" s="2">
        <v>45727</v>
      </c>
      <c r="B71">
        <v>2025</v>
      </c>
      <c r="C71">
        <v>3</v>
      </c>
      <c r="D71" s="29" t="s">
        <v>37</v>
      </c>
      <c r="E71" s="29" t="s">
        <v>35</v>
      </c>
    </row>
    <row r="72" spans="1:5" x14ac:dyDescent="0.3">
      <c r="A72" s="2">
        <v>45728</v>
      </c>
      <c r="B72">
        <v>2025</v>
      </c>
      <c r="C72">
        <v>3</v>
      </c>
      <c r="D72" s="29" t="s">
        <v>37</v>
      </c>
      <c r="E72" s="29" t="s">
        <v>35</v>
      </c>
    </row>
    <row r="73" spans="1:5" x14ac:dyDescent="0.3">
      <c r="A73" s="2">
        <v>45729</v>
      </c>
      <c r="B73">
        <v>2025</v>
      </c>
      <c r="C73">
        <v>3</v>
      </c>
      <c r="D73" s="29" t="s">
        <v>37</v>
      </c>
      <c r="E73" s="29" t="s">
        <v>35</v>
      </c>
    </row>
    <row r="74" spans="1:5" x14ac:dyDescent="0.3">
      <c r="A74" s="2">
        <v>45730</v>
      </c>
      <c r="B74">
        <v>2025</v>
      </c>
      <c r="C74">
        <v>3</v>
      </c>
      <c r="D74" s="29" t="s">
        <v>37</v>
      </c>
      <c r="E74" s="29" t="s">
        <v>35</v>
      </c>
    </row>
    <row r="75" spans="1:5" x14ac:dyDescent="0.3">
      <c r="A75" s="2">
        <v>45731</v>
      </c>
      <c r="B75">
        <v>2025</v>
      </c>
      <c r="C75">
        <v>3</v>
      </c>
      <c r="D75" s="29" t="s">
        <v>37</v>
      </c>
      <c r="E75" s="29" t="s">
        <v>35</v>
      </c>
    </row>
    <row r="76" spans="1:5" x14ac:dyDescent="0.3">
      <c r="A76" s="2">
        <v>45732</v>
      </c>
      <c r="B76">
        <v>2025</v>
      </c>
      <c r="C76">
        <v>3</v>
      </c>
      <c r="D76" s="29" t="s">
        <v>37</v>
      </c>
      <c r="E76" s="29" t="s">
        <v>35</v>
      </c>
    </row>
    <row r="77" spans="1:5" x14ac:dyDescent="0.3">
      <c r="A77" s="2">
        <v>45733</v>
      </c>
      <c r="B77">
        <v>2025</v>
      </c>
      <c r="C77">
        <v>3</v>
      </c>
      <c r="D77" s="29" t="s">
        <v>37</v>
      </c>
      <c r="E77" s="29" t="s">
        <v>35</v>
      </c>
    </row>
    <row r="78" spans="1:5" x14ac:dyDescent="0.3">
      <c r="A78" s="2">
        <v>45734</v>
      </c>
      <c r="B78">
        <v>2025</v>
      </c>
      <c r="C78">
        <v>3</v>
      </c>
      <c r="D78" s="29" t="s">
        <v>37</v>
      </c>
      <c r="E78" s="29" t="s">
        <v>35</v>
      </c>
    </row>
    <row r="79" spans="1:5" x14ac:dyDescent="0.3">
      <c r="A79" s="2">
        <v>45735</v>
      </c>
      <c r="B79">
        <v>2025</v>
      </c>
      <c r="C79">
        <v>3</v>
      </c>
      <c r="D79" s="29" t="s">
        <v>37</v>
      </c>
      <c r="E79" s="29" t="s">
        <v>35</v>
      </c>
    </row>
    <row r="80" spans="1:5" x14ac:dyDescent="0.3">
      <c r="A80" s="2">
        <v>45736</v>
      </c>
      <c r="B80">
        <v>2025</v>
      </c>
      <c r="C80">
        <v>3</v>
      </c>
      <c r="D80" s="29" t="s">
        <v>37</v>
      </c>
      <c r="E80" s="29" t="s">
        <v>35</v>
      </c>
    </row>
    <row r="81" spans="1:5" x14ac:dyDescent="0.3">
      <c r="A81" s="2">
        <v>45737</v>
      </c>
      <c r="B81">
        <v>2025</v>
      </c>
      <c r="C81">
        <v>3</v>
      </c>
      <c r="D81" s="29" t="s">
        <v>37</v>
      </c>
      <c r="E81" s="29" t="s">
        <v>35</v>
      </c>
    </row>
    <row r="82" spans="1:5" x14ac:dyDescent="0.3">
      <c r="A82" s="2">
        <v>45738</v>
      </c>
      <c r="B82">
        <v>2025</v>
      </c>
      <c r="C82">
        <v>3</v>
      </c>
      <c r="D82" s="29" t="s">
        <v>37</v>
      </c>
      <c r="E82" s="29" t="s">
        <v>35</v>
      </c>
    </row>
    <row r="83" spans="1:5" x14ac:dyDescent="0.3">
      <c r="A83" s="2">
        <v>45739</v>
      </c>
      <c r="B83">
        <v>2025</v>
      </c>
      <c r="C83">
        <v>3</v>
      </c>
      <c r="D83" s="29" t="s">
        <v>37</v>
      </c>
      <c r="E83" s="29" t="s">
        <v>35</v>
      </c>
    </row>
    <row r="84" spans="1:5" x14ac:dyDescent="0.3">
      <c r="A84" s="2">
        <v>45740</v>
      </c>
      <c r="B84">
        <v>2025</v>
      </c>
      <c r="C84">
        <v>3</v>
      </c>
      <c r="D84" s="29" t="s">
        <v>37</v>
      </c>
      <c r="E84" s="29" t="s">
        <v>35</v>
      </c>
    </row>
    <row r="85" spans="1:5" x14ac:dyDescent="0.3">
      <c r="A85" s="2">
        <v>45741</v>
      </c>
      <c r="B85">
        <v>2025</v>
      </c>
      <c r="C85">
        <v>3</v>
      </c>
      <c r="D85" s="29" t="s">
        <v>37</v>
      </c>
      <c r="E85" s="29" t="s">
        <v>35</v>
      </c>
    </row>
    <row r="86" spans="1:5" x14ac:dyDescent="0.3">
      <c r="A86" s="2">
        <v>45742</v>
      </c>
      <c r="B86">
        <v>2025</v>
      </c>
      <c r="C86">
        <v>3</v>
      </c>
      <c r="D86" s="29" t="s">
        <v>37</v>
      </c>
      <c r="E86" s="29" t="s">
        <v>35</v>
      </c>
    </row>
    <row r="87" spans="1:5" x14ac:dyDescent="0.3">
      <c r="A87" s="2">
        <v>45743</v>
      </c>
      <c r="B87">
        <v>2025</v>
      </c>
      <c r="C87">
        <v>3</v>
      </c>
      <c r="D87" s="29" t="s">
        <v>37</v>
      </c>
      <c r="E87" s="29" t="s">
        <v>35</v>
      </c>
    </row>
    <row r="88" spans="1:5" x14ac:dyDescent="0.3">
      <c r="A88" s="2">
        <v>45744</v>
      </c>
      <c r="B88">
        <v>2025</v>
      </c>
      <c r="C88">
        <v>3</v>
      </c>
      <c r="D88" s="29" t="s">
        <v>37</v>
      </c>
      <c r="E88" s="29" t="s">
        <v>35</v>
      </c>
    </row>
    <row r="89" spans="1:5" x14ac:dyDescent="0.3">
      <c r="A89" s="2">
        <v>45745</v>
      </c>
      <c r="B89">
        <v>2025</v>
      </c>
      <c r="C89">
        <v>3</v>
      </c>
      <c r="D89" s="29" t="s">
        <v>37</v>
      </c>
      <c r="E89" s="29" t="s">
        <v>35</v>
      </c>
    </row>
    <row r="90" spans="1:5" x14ac:dyDescent="0.3">
      <c r="A90" s="2">
        <v>45746</v>
      </c>
      <c r="B90">
        <v>2025</v>
      </c>
      <c r="C90">
        <v>3</v>
      </c>
      <c r="D90" s="29" t="s">
        <v>37</v>
      </c>
      <c r="E90" s="29" t="s">
        <v>35</v>
      </c>
    </row>
    <row r="91" spans="1:5" x14ac:dyDescent="0.3">
      <c r="A91" s="2">
        <v>45747</v>
      </c>
      <c r="B91">
        <v>2025</v>
      </c>
      <c r="C91">
        <v>3</v>
      </c>
      <c r="D91" s="29" t="s">
        <v>37</v>
      </c>
      <c r="E91" s="29" t="s">
        <v>35</v>
      </c>
    </row>
    <row r="92" spans="1:5" x14ac:dyDescent="0.3">
      <c r="A92" s="2">
        <v>45748</v>
      </c>
      <c r="B92">
        <v>2025</v>
      </c>
      <c r="C92">
        <v>4</v>
      </c>
      <c r="D92" s="29" t="s">
        <v>38</v>
      </c>
      <c r="E92" s="29" t="s">
        <v>39</v>
      </c>
    </row>
    <row r="93" spans="1:5" x14ac:dyDescent="0.3">
      <c r="A93" s="2">
        <v>45749</v>
      </c>
      <c r="B93">
        <v>2025</v>
      </c>
      <c r="C93">
        <v>4</v>
      </c>
      <c r="D93" s="29" t="s">
        <v>38</v>
      </c>
      <c r="E93" s="29" t="s">
        <v>39</v>
      </c>
    </row>
    <row r="94" spans="1:5" x14ac:dyDescent="0.3">
      <c r="A94" s="2">
        <v>45750</v>
      </c>
      <c r="B94">
        <v>2025</v>
      </c>
      <c r="C94">
        <v>4</v>
      </c>
      <c r="D94" s="29" t="s">
        <v>38</v>
      </c>
      <c r="E94" s="29" t="s">
        <v>39</v>
      </c>
    </row>
    <row r="95" spans="1:5" x14ac:dyDescent="0.3">
      <c r="A95" s="2">
        <v>45751</v>
      </c>
      <c r="B95">
        <v>2025</v>
      </c>
      <c r="C95">
        <v>4</v>
      </c>
      <c r="D95" s="29" t="s">
        <v>38</v>
      </c>
      <c r="E95" s="29" t="s">
        <v>39</v>
      </c>
    </row>
    <row r="96" spans="1:5" x14ac:dyDescent="0.3">
      <c r="A96" s="2">
        <v>45752</v>
      </c>
      <c r="B96">
        <v>2025</v>
      </c>
      <c r="C96">
        <v>4</v>
      </c>
      <c r="D96" s="29" t="s">
        <v>38</v>
      </c>
      <c r="E96" s="29" t="s">
        <v>39</v>
      </c>
    </row>
    <row r="97" spans="1:5" x14ac:dyDescent="0.3">
      <c r="A97" s="2">
        <v>45753</v>
      </c>
      <c r="B97">
        <v>2025</v>
      </c>
      <c r="C97">
        <v>4</v>
      </c>
      <c r="D97" s="29" t="s">
        <v>38</v>
      </c>
      <c r="E97" s="29" t="s">
        <v>39</v>
      </c>
    </row>
    <row r="98" spans="1:5" x14ac:dyDescent="0.3">
      <c r="A98" s="2">
        <v>45754</v>
      </c>
      <c r="B98">
        <v>2025</v>
      </c>
      <c r="C98">
        <v>4</v>
      </c>
      <c r="D98" s="29" t="s">
        <v>38</v>
      </c>
      <c r="E98" s="29" t="s">
        <v>39</v>
      </c>
    </row>
    <row r="99" spans="1:5" x14ac:dyDescent="0.3">
      <c r="A99" s="2">
        <v>45755</v>
      </c>
      <c r="B99">
        <v>2025</v>
      </c>
      <c r="C99">
        <v>4</v>
      </c>
      <c r="D99" s="29" t="s">
        <v>38</v>
      </c>
      <c r="E99" s="29" t="s">
        <v>39</v>
      </c>
    </row>
    <row r="100" spans="1:5" x14ac:dyDescent="0.3">
      <c r="A100" s="2">
        <v>45756</v>
      </c>
      <c r="B100">
        <v>2025</v>
      </c>
      <c r="C100">
        <v>4</v>
      </c>
      <c r="D100" s="29" t="s">
        <v>38</v>
      </c>
      <c r="E100" s="29" t="s">
        <v>39</v>
      </c>
    </row>
    <row r="101" spans="1:5" x14ac:dyDescent="0.3">
      <c r="A101" s="2">
        <v>45757</v>
      </c>
      <c r="B101">
        <v>2025</v>
      </c>
      <c r="C101">
        <v>4</v>
      </c>
      <c r="D101" s="29" t="s">
        <v>38</v>
      </c>
      <c r="E101" s="29" t="s">
        <v>39</v>
      </c>
    </row>
    <row r="102" spans="1:5" x14ac:dyDescent="0.3">
      <c r="A102" s="2">
        <v>45758</v>
      </c>
      <c r="B102">
        <v>2025</v>
      </c>
      <c r="C102">
        <v>4</v>
      </c>
      <c r="D102" s="29" t="s">
        <v>38</v>
      </c>
      <c r="E102" s="29" t="s">
        <v>39</v>
      </c>
    </row>
    <row r="103" spans="1:5" x14ac:dyDescent="0.3">
      <c r="A103" s="2">
        <v>45759</v>
      </c>
      <c r="B103">
        <v>2025</v>
      </c>
      <c r="C103">
        <v>4</v>
      </c>
      <c r="D103" s="29" t="s">
        <v>38</v>
      </c>
      <c r="E103" s="29" t="s">
        <v>39</v>
      </c>
    </row>
    <row r="104" spans="1:5" x14ac:dyDescent="0.3">
      <c r="A104" s="2">
        <v>45760</v>
      </c>
      <c r="B104">
        <v>2025</v>
      </c>
      <c r="C104">
        <v>4</v>
      </c>
      <c r="D104" s="29" t="s">
        <v>38</v>
      </c>
      <c r="E104" s="29" t="s">
        <v>39</v>
      </c>
    </row>
    <row r="105" spans="1:5" x14ac:dyDescent="0.3">
      <c r="A105" s="2">
        <v>45761</v>
      </c>
      <c r="B105">
        <v>2025</v>
      </c>
      <c r="C105">
        <v>4</v>
      </c>
      <c r="D105" s="29" t="s">
        <v>38</v>
      </c>
      <c r="E105" s="29" t="s">
        <v>39</v>
      </c>
    </row>
    <row r="106" spans="1:5" x14ac:dyDescent="0.3">
      <c r="A106" s="2">
        <v>45762</v>
      </c>
      <c r="B106">
        <v>2025</v>
      </c>
      <c r="C106">
        <v>4</v>
      </c>
      <c r="D106" s="29" t="s">
        <v>38</v>
      </c>
      <c r="E106" s="29" t="s">
        <v>39</v>
      </c>
    </row>
    <row r="107" spans="1:5" x14ac:dyDescent="0.3">
      <c r="A107" s="2">
        <v>45763</v>
      </c>
      <c r="B107">
        <v>2025</v>
      </c>
      <c r="C107">
        <v>4</v>
      </c>
      <c r="D107" s="29" t="s">
        <v>38</v>
      </c>
      <c r="E107" s="29" t="s">
        <v>39</v>
      </c>
    </row>
    <row r="108" spans="1:5" x14ac:dyDescent="0.3">
      <c r="A108" s="2">
        <v>45764</v>
      </c>
      <c r="B108">
        <v>2025</v>
      </c>
      <c r="C108">
        <v>4</v>
      </c>
      <c r="D108" s="29" t="s">
        <v>38</v>
      </c>
      <c r="E108" s="29" t="s">
        <v>39</v>
      </c>
    </row>
    <row r="109" spans="1:5" x14ac:dyDescent="0.3">
      <c r="A109" s="2">
        <v>45765</v>
      </c>
      <c r="B109">
        <v>2025</v>
      </c>
      <c r="C109">
        <v>4</v>
      </c>
      <c r="D109" s="29" t="s">
        <v>38</v>
      </c>
      <c r="E109" s="29" t="s">
        <v>39</v>
      </c>
    </row>
    <row r="110" spans="1:5" x14ac:dyDescent="0.3">
      <c r="A110" s="2">
        <v>45766</v>
      </c>
      <c r="B110">
        <v>2025</v>
      </c>
      <c r="C110">
        <v>4</v>
      </c>
      <c r="D110" s="29" t="s">
        <v>38</v>
      </c>
      <c r="E110" s="29" t="s">
        <v>39</v>
      </c>
    </row>
    <row r="111" spans="1:5" x14ac:dyDescent="0.3">
      <c r="A111" s="2">
        <v>45767</v>
      </c>
      <c r="B111">
        <v>2025</v>
      </c>
      <c r="C111">
        <v>4</v>
      </c>
      <c r="D111" s="29" t="s">
        <v>38</v>
      </c>
      <c r="E111" s="29" t="s">
        <v>39</v>
      </c>
    </row>
    <row r="112" spans="1:5" x14ac:dyDescent="0.3">
      <c r="A112" s="2">
        <v>45768</v>
      </c>
      <c r="B112">
        <v>2025</v>
      </c>
      <c r="C112">
        <v>4</v>
      </c>
      <c r="D112" s="29" t="s">
        <v>38</v>
      </c>
      <c r="E112" s="29" t="s">
        <v>39</v>
      </c>
    </row>
    <row r="113" spans="1:5" x14ac:dyDescent="0.3">
      <c r="A113" s="2">
        <v>45769</v>
      </c>
      <c r="B113">
        <v>2025</v>
      </c>
      <c r="C113">
        <v>4</v>
      </c>
      <c r="D113" s="29" t="s">
        <v>38</v>
      </c>
      <c r="E113" s="29" t="s">
        <v>39</v>
      </c>
    </row>
    <row r="114" spans="1:5" x14ac:dyDescent="0.3">
      <c r="A114" s="2">
        <v>45770</v>
      </c>
      <c r="B114">
        <v>2025</v>
      </c>
      <c r="C114">
        <v>4</v>
      </c>
      <c r="D114" s="29" t="s">
        <v>38</v>
      </c>
      <c r="E114" s="29" t="s">
        <v>39</v>
      </c>
    </row>
    <row r="115" spans="1:5" x14ac:dyDescent="0.3">
      <c r="A115" s="2">
        <v>45771</v>
      </c>
      <c r="B115">
        <v>2025</v>
      </c>
      <c r="C115">
        <v>4</v>
      </c>
      <c r="D115" s="29" t="s">
        <v>38</v>
      </c>
      <c r="E115" s="29" t="s">
        <v>39</v>
      </c>
    </row>
    <row r="116" spans="1:5" x14ac:dyDescent="0.3">
      <c r="A116" s="2">
        <v>45772</v>
      </c>
      <c r="B116">
        <v>2025</v>
      </c>
      <c r="C116">
        <v>4</v>
      </c>
      <c r="D116" s="29" t="s">
        <v>38</v>
      </c>
      <c r="E116" s="29" t="s">
        <v>39</v>
      </c>
    </row>
    <row r="117" spans="1:5" x14ac:dyDescent="0.3">
      <c r="A117" s="2">
        <v>45773</v>
      </c>
      <c r="B117">
        <v>2025</v>
      </c>
      <c r="C117">
        <v>4</v>
      </c>
      <c r="D117" s="29" t="s">
        <v>38</v>
      </c>
      <c r="E117" s="29" t="s">
        <v>39</v>
      </c>
    </row>
    <row r="118" spans="1:5" x14ac:dyDescent="0.3">
      <c r="A118" s="2">
        <v>45774</v>
      </c>
      <c r="B118">
        <v>2025</v>
      </c>
      <c r="C118">
        <v>4</v>
      </c>
      <c r="D118" s="29" t="s">
        <v>38</v>
      </c>
      <c r="E118" s="29" t="s">
        <v>39</v>
      </c>
    </row>
    <row r="119" spans="1:5" x14ac:dyDescent="0.3">
      <c r="A119" s="2">
        <v>45775</v>
      </c>
      <c r="B119">
        <v>2025</v>
      </c>
      <c r="C119">
        <v>4</v>
      </c>
      <c r="D119" s="29" t="s">
        <v>38</v>
      </c>
      <c r="E119" s="29" t="s">
        <v>39</v>
      </c>
    </row>
    <row r="120" spans="1:5" x14ac:dyDescent="0.3">
      <c r="A120" s="2">
        <v>45776</v>
      </c>
      <c r="B120">
        <v>2025</v>
      </c>
      <c r="C120">
        <v>4</v>
      </c>
      <c r="D120" s="29" t="s">
        <v>38</v>
      </c>
      <c r="E120" s="29" t="s">
        <v>39</v>
      </c>
    </row>
    <row r="121" spans="1:5" x14ac:dyDescent="0.3">
      <c r="A121" s="2">
        <v>45777</v>
      </c>
      <c r="B121">
        <v>2025</v>
      </c>
      <c r="C121">
        <v>4</v>
      </c>
      <c r="D121" s="29" t="s">
        <v>38</v>
      </c>
      <c r="E121" s="29" t="s">
        <v>39</v>
      </c>
    </row>
    <row r="122" spans="1:5" x14ac:dyDescent="0.3">
      <c r="A122" s="2">
        <v>45778</v>
      </c>
      <c r="B122">
        <v>2025</v>
      </c>
      <c r="C122">
        <v>5</v>
      </c>
      <c r="D122" s="29" t="s">
        <v>40</v>
      </c>
      <c r="E122" s="29" t="s">
        <v>39</v>
      </c>
    </row>
    <row r="123" spans="1:5" x14ac:dyDescent="0.3">
      <c r="A123" s="2">
        <v>45779</v>
      </c>
      <c r="B123">
        <v>2025</v>
      </c>
      <c r="C123">
        <v>5</v>
      </c>
      <c r="D123" s="29" t="s">
        <v>40</v>
      </c>
      <c r="E123" s="29" t="s">
        <v>39</v>
      </c>
    </row>
    <row r="124" spans="1:5" x14ac:dyDescent="0.3">
      <c r="A124" s="2">
        <v>45780</v>
      </c>
      <c r="B124">
        <v>2025</v>
      </c>
      <c r="C124">
        <v>5</v>
      </c>
      <c r="D124" s="29" t="s">
        <v>40</v>
      </c>
      <c r="E124" s="29" t="s">
        <v>39</v>
      </c>
    </row>
    <row r="125" spans="1:5" x14ac:dyDescent="0.3">
      <c r="A125" s="2">
        <v>45781</v>
      </c>
      <c r="B125">
        <v>2025</v>
      </c>
      <c r="C125">
        <v>5</v>
      </c>
      <c r="D125" s="29" t="s">
        <v>40</v>
      </c>
      <c r="E125" s="29" t="s">
        <v>39</v>
      </c>
    </row>
    <row r="126" spans="1:5" x14ac:dyDescent="0.3">
      <c r="A126" s="2">
        <v>45782</v>
      </c>
      <c r="B126">
        <v>2025</v>
      </c>
      <c r="C126">
        <v>5</v>
      </c>
      <c r="D126" s="29" t="s">
        <v>40</v>
      </c>
      <c r="E126" s="29" t="s">
        <v>39</v>
      </c>
    </row>
    <row r="127" spans="1:5" x14ac:dyDescent="0.3">
      <c r="A127" s="2">
        <v>45783</v>
      </c>
      <c r="B127">
        <v>2025</v>
      </c>
      <c r="C127">
        <v>5</v>
      </c>
      <c r="D127" s="29" t="s">
        <v>40</v>
      </c>
      <c r="E127" s="29" t="s">
        <v>39</v>
      </c>
    </row>
    <row r="128" spans="1:5" x14ac:dyDescent="0.3">
      <c r="A128" s="2">
        <v>45784</v>
      </c>
      <c r="B128">
        <v>2025</v>
      </c>
      <c r="C128">
        <v>5</v>
      </c>
      <c r="D128" s="29" t="s">
        <v>40</v>
      </c>
      <c r="E128" s="29" t="s">
        <v>39</v>
      </c>
    </row>
    <row r="129" spans="1:5" x14ac:dyDescent="0.3">
      <c r="A129" s="2">
        <v>45785</v>
      </c>
      <c r="B129">
        <v>2025</v>
      </c>
      <c r="C129">
        <v>5</v>
      </c>
      <c r="D129" s="29" t="s">
        <v>40</v>
      </c>
      <c r="E129" s="29" t="s">
        <v>39</v>
      </c>
    </row>
    <row r="130" spans="1:5" x14ac:dyDescent="0.3">
      <c r="A130" s="2">
        <v>45786</v>
      </c>
      <c r="B130">
        <v>2025</v>
      </c>
      <c r="C130">
        <v>5</v>
      </c>
      <c r="D130" s="29" t="s">
        <v>40</v>
      </c>
      <c r="E130" s="29" t="s">
        <v>39</v>
      </c>
    </row>
    <row r="131" spans="1:5" x14ac:dyDescent="0.3">
      <c r="A131" s="2">
        <v>45787</v>
      </c>
      <c r="B131">
        <v>2025</v>
      </c>
      <c r="C131">
        <v>5</v>
      </c>
      <c r="D131" s="29" t="s">
        <v>40</v>
      </c>
      <c r="E131" s="29" t="s">
        <v>39</v>
      </c>
    </row>
    <row r="132" spans="1:5" x14ac:dyDescent="0.3">
      <c r="A132" s="2">
        <v>45788</v>
      </c>
      <c r="B132">
        <v>2025</v>
      </c>
      <c r="C132">
        <v>5</v>
      </c>
      <c r="D132" s="29" t="s">
        <v>40</v>
      </c>
      <c r="E132" s="29" t="s">
        <v>39</v>
      </c>
    </row>
    <row r="133" spans="1:5" x14ac:dyDescent="0.3">
      <c r="A133" s="2">
        <v>45789</v>
      </c>
      <c r="B133">
        <v>2025</v>
      </c>
      <c r="C133">
        <v>5</v>
      </c>
      <c r="D133" s="29" t="s">
        <v>40</v>
      </c>
      <c r="E133" s="29" t="s">
        <v>39</v>
      </c>
    </row>
    <row r="134" spans="1:5" x14ac:dyDescent="0.3">
      <c r="A134" s="2">
        <v>45790</v>
      </c>
      <c r="B134">
        <v>2025</v>
      </c>
      <c r="C134">
        <v>5</v>
      </c>
      <c r="D134" s="29" t="s">
        <v>40</v>
      </c>
      <c r="E134" s="29" t="s">
        <v>39</v>
      </c>
    </row>
    <row r="135" spans="1:5" x14ac:dyDescent="0.3">
      <c r="A135" s="2">
        <v>45791</v>
      </c>
      <c r="B135">
        <v>2025</v>
      </c>
      <c r="C135">
        <v>5</v>
      </c>
      <c r="D135" s="29" t="s">
        <v>40</v>
      </c>
      <c r="E135" s="29" t="s">
        <v>39</v>
      </c>
    </row>
    <row r="136" spans="1:5" x14ac:dyDescent="0.3">
      <c r="A136" s="2">
        <v>45792</v>
      </c>
      <c r="B136">
        <v>2025</v>
      </c>
      <c r="C136">
        <v>5</v>
      </c>
      <c r="D136" s="29" t="s">
        <v>40</v>
      </c>
      <c r="E136" s="29" t="s">
        <v>39</v>
      </c>
    </row>
    <row r="137" spans="1:5" x14ac:dyDescent="0.3">
      <c r="A137" s="2">
        <v>45793</v>
      </c>
      <c r="B137">
        <v>2025</v>
      </c>
      <c r="C137">
        <v>5</v>
      </c>
      <c r="D137" s="29" t="s">
        <v>40</v>
      </c>
      <c r="E137" s="29" t="s">
        <v>39</v>
      </c>
    </row>
    <row r="138" spans="1:5" x14ac:dyDescent="0.3">
      <c r="A138" s="2">
        <v>45794</v>
      </c>
      <c r="B138">
        <v>2025</v>
      </c>
      <c r="C138">
        <v>5</v>
      </c>
      <c r="D138" s="29" t="s">
        <v>40</v>
      </c>
      <c r="E138" s="29" t="s">
        <v>39</v>
      </c>
    </row>
    <row r="139" spans="1:5" x14ac:dyDescent="0.3">
      <c r="A139" s="2">
        <v>45795</v>
      </c>
      <c r="B139">
        <v>2025</v>
      </c>
      <c r="C139">
        <v>5</v>
      </c>
      <c r="D139" s="29" t="s">
        <v>40</v>
      </c>
      <c r="E139" s="29" t="s">
        <v>39</v>
      </c>
    </row>
    <row r="140" spans="1:5" x14ac:dyDescent="0.3">
      <c r="A140" s="2">
        <v>45796</v>
      </c>
      <c r="B140">
        <v>2025</v>
      </c>
      <c r="C140">
        <v>5</v>
      </c>
      <c r="D140" s="29" t="s">
        <v>40</v>
      </c>
      <c r="E140" s="29" t="s">
        <v>39</v>
      </c>
    </row>
    <row r="141" spans="1:5" x14ac:dyDescent="0.3">
      <c r="A141" s="2">
        <v>45797</v>
      </c>
      <c r="B141">
        <v>2025</v>
      </c>
      <c r="C141">
        <v>5</v>
      </c>
      <c r="D141" s="29" t="s">
        <v>40</v>
      </c>
      <c r="E141" s="29" t="s">
        <v>39</v>
      </c>
    </row>
    <row r="142" spans="1:5" x14ac:dyDescent="0.3">
      <c r="A142" s="2">
        <v>45798</v>
      </c>
      <c r="B142">
        <v>2025</v>
      </c>
      <c r="C142">
        <v>5</v>
      </c>
      <c r="D142" s="29" t="s">
        <v>40</v>
      </c>
      <c r="E142" s="29" t="s">
        <v>39</v>
      </c>
    </row>
    <row r="143" spans="1:5" x14ac:dyDescent="0.3">
      <c r="A143" s="2">
        <v>45799</v>
      </c>
      <c r="B143">
        <v>2025</v>
      </c>
      <c r="C143">
        <v>5</v>
      </c>
      <c r="D143" s="29" t="s">
        <v>40</v>
      </c>
      <c r="E143" s="29" t="s">
        <v>39</v>
      </c>
    </row>
    <row r="144" spans="1:5" x14ac:dyDescent="0.3">
      <c r="A144" s="2">
        <v>45800</v>
      </c>
      <c r="B144">
        <v>2025</v>
      </c>
      <c r="C144">
        <v>5</v>
      </c>
      <c r="D144" s="29" t="s">
        <v>40</v>
      </c>
      <c r="E144" s="29" t="s">
        <v>39</v>
      </c>
    </row>
    <row r="145" spans="1:5" x14ac:dyDescent="0.3">
      <c r="A145" s="2">
        <v>45801</v>
      </c>
      <c r="B145">
        <v>2025</v>
      </c>
      <c r="C145">
        <v>5</v>
      </c>
      <c r="D145" s="29" t="s">
        <v>40</v>
      </c>
      <c r="E145" s="29" t="s">
        <v>39</v>
      </c>
    </row>
    <row r="146" spans="1:5" x14ac:dyDescent="0.3">
      <c r="A146" s="2">
        <v>45802</v>
      </c>
      <c r="B146">
        <v>2025</v>
      </c>
      <c r="C146">
        <v>5</v>
      </c>
      <c r="D146" s="29" t="s">
        <v>40</v>
      </c>
      <c r="E146" s="29" t="s">
        <v>39</v>
      </c>
    </row>
    <row r="147" spans="1:5" x14ac:dyDescent="0.3">
      <c r="A147" s="2">
        <v>45803</v>
      </c>
      <c r="B147">
        <v>2025</v>
      </c>
      <c r="C147">
        <v>5</v>
      </c>
      <c r="D147" s="29" t="s">
        <v>40</v>
      </c>
      <c r="E147" s="29" t="s">
        <v>39</v>
      </c>
    </row>
    <row r="148" spans="1:5" x14ac:dyDescent="0.3">
      <c r="A148" s="2">
        <v>45804</v>
      </c>
      <c r="B148">
        <v>2025</v>
      </c>
      <c r="C148">
        <v>5</v>
      </c>
      <c r="D148" s="29" t="s">
        <v>40</v>
      </c>
      <c r="E148" s="29" t="s">
        <v>39</v>
      </c>
    </row>
    <row r="149" spans="1:5" x14ac:dyDescent="0.3">
      <c r="A149" s="2">
        <v>45805</v>
      </c>
      <c r="B149">
        <v>2025</v>
      </c>
      <c r="C149">
        <v>5</v>
      </c>
      <c r="D149" s="29" t="s">
        <v>40</v>
      </c>
      <c r="E149" s="29" t="s">
        <v>39</v>
      </c>
    </row>
    <row r="150" spans="1:5" x14ac:dyDescent="0.3">
      <c r="A150" s="2">
        <v>45806</v>
      </c>
      <c r="B150">
        <v>2025</v>
      </c>
      <c r="C150">
        <v>5</v>
      </c>
      <c r="D150" s="29" t="s">
        <v>40</v>
      </c>
      <c r="E150" s="29" t="s">
        <v>39</v>
      </c>
    </row>
    <row r="151" spans="1:5" x14ac:dyDescent="0.3">
      <c r="A151" s="2">
        <v>45807</v>
      </c>
      <c r="B151">
        <v>2025</v>
      </c>
      <c r="C151">
        <v>5</v>
      </c>
      <c r="D151" s="29" t="s">
        <v>40</v>
      </c>
      <c r="E151" s="29" t="s">
        <v>39</v>
      </c>
    </row>
    <row r="152" spans="1:5" x14ac:dyDescent="0.3">
      <c r="A152" s="2">
        <v>45808</v>
      </c>
      <c r="B152">
        <v>2025</v>
      </c>
      <c r="C152">
        <v>5</v>
      </c>
      <c r="D152" s="29" t="s">
        <v>40</v>
      </c>
      <c r="E152" s="29" t="s">
        <v>39</v>
      </c>
    </row>
    <row r="153" spans="1:5" x14ac:dyDescent="0.3">
      <c r="A153" s="2">
        <v>45809</v>
      </c>
      <c r="B153">
        <v>2025</v>
      </c>
      <c r="C153">
        <v>6</v>
      </c>
      <c r="D153" s="29" t="s">
        <v>41</v>
      </c>
      <c r="E153" s="29" t="s">
        <v>39</v>
      </c>
    </row>
    <row r="154" spans="1:5" x14ac:dyDescent="0.3">
      <c r="A154" s="2">
        <v>45810</v>
      </c>
      <c r="B154">
        <v>2025</v>
      </c>
      <c r="C154">
        <v>6</v>
      </c>
      <c r="D154" s="29" t="s">
        <v>41</v>
      </c>
      <c r="E154" s="29" t="s">
        <v>39</v>
      </c>
    </row>
    <row r="155" spans="1:5" x14ac:dyDescent="0.3">
      <c r="A155" s="2">
        <v>45811</v>
      </c>
      <c r="B155">
        <v>2025</v>
      </c>
      <c r="C155">
        <v>6</v>
      </c>
      <c r="D155" s="29" t="s">
        <v>41</v>
      </c>
      <c r="E155" s="29" t="s">
        <v>39</v>
      </c>
    </row>
    <row r="156" spans="1:5" x14ac:dyDescent="0.3">
      <c r="A156" s="2">
        <v>45812</v>
      </c>
      <c r="B156">
        <v>2025</v>
      </c>
      <c r="C156">
        <v>6</v>
      </c>
      <c r="D156" s="29" t="s">
        <v>41</v>
      </c>
      <c r="E156" s="29" t="s">
        <v>39</v>
      </c>
    </row>
    <row r="157" spans="1:5" x14ac:dyDescent="0.3">
      <c r="A157" s="2">
        <v>45813</v>
      </c>
      <c r="B157">
        <v>2025</v>
      </c>
      <c r="C157">
        <v>6</v>
      </c>
      <c r="D157" s="29" t="s">
        <v>41</v>
      </c>
      <c r="E157" s="29" t="s">
        <v>39</v>
      </c>
    </row>
    <row r="158" spans="1:5" x14ac:dyDescent="0.3">
      <c r="A158" s="2">
        <v>45814</v>
      </c>
      <c r="B158">
        <v>2025</v>
      </c>
      <c r="C158">
        <v>6</v>
      </c>
      <c r="D158" s="29" t="s">
        <v>41</v>
      </c>
      <c r="E158" s="29" t="s">
        <v>39</v>
      </c>
    </row>
    <row r="159" spans="1:5" x14ac:dyDescent="0.3">
      <c r="A159" s="2">
        <v>45815</v>
      </c>
      <c r="B159">
        <v>2025</v>
      </c>
      <c r="C159">
        <v>6</v>
      </c>
      <c r="D159" s="29" t="s">
        <v>41</v>
      </c>
      <c r="E159" s="29" t="s">
        <v>39</v>
      </c>
    </row>
    <row r="160" spans="1:5" x14ac:dyDescent="0.3">
      <c r="A160" s="2">
        <v>45816</v>
      </c>
      <c r="B160">
        <v>2025</v>
      </c>
      <c r="C160">
        <v>6</v>
      </c>
      <c r="D160" s="29" t="s">
        <v>41</v>
      </c>
      <c r="E160" s="29" t="s">
        <v>39</v>
      </c>
    </row>
    <row r="161" spans="1:5" x14ac:dyDescent="0.3">
      <c r="A161" s="2">
        <v>45817</v>
      </c>
      <c r="B161">
        <v>2025</v>
      </c>
      <c r="C161">
        <v>6</v>
      </c>
      <c r="D161" s="29" t="s">
        <v>41</v>
      </c>
      <c r="E161" s="29" t="s">
        <v>39</v>
      </c>
    </row>
    <row r="162" spans="1:5" x14ac:dyDescent="0.3">
      <c r="A162" s="2">
        <v>45818</v>
      </c>
      <c r="B162">
        <v>2025</v>
      </c>
      <c r="C162">
        <v>6</v>
      </c>
      <c r="D162" s="29" t="s">
        <v>41</v>
      </c>
      <c r="E162" s="29" t="s">
        <v>39</v>
      </c>
    </row>
    <row r="163" spans="1:5" x14ac:dyDescent="0.3">
      <c r="A163" s="2">
        <v>45819</v>
      </c>
      <c r="B163">
        <v>2025</v>
      </c>
      <c r="C163">
        <v>6</v>
      </c>
      <c r="D163" s="29" t="s">
        <v>41</v>
      </c>
      <c r="E163" s="29" t="s">
        <v>39</v>
      </c>
    </row>
    <row r="164" spans="1:5" x14ac:dyDescent="0.3">
      <c r="A164" s="2">
        <v>45820</v>
      </c>
      <c r="B164">
        <v>2025</v>
      </c>
      <c r="C164">
        <v>6</v>
      </c>
      <c r="D164" s="29" t="s">
        <v>41</v>
      </c>
      <c r="E164" s="29" t="s">
        <v>39</v>
      </c>
    </row>
    <row r="165" spans="1:5" x14ac:dyDescent="0.3">
      <c r="A165" s="2">
        <v>45821</v>
      </c>
      <c r="B165">
        <v>2025</v>
      </c>
      <c r="C165">
        <v>6</v>
      </c>
      <c r="D165" s="29" t="s">
        <v>41</v>
      </c>
      <c r="E165" s="29" t="s">
        <v>39</v>
      </c>
    </row>
    <row r="166" spans="1:5" x14ac:dyDescent="0.3">
      <c r="A166" s="2">
        <v>45822</v>
      </c>
      <c r="B166">
        <v>2025</v>
      </c>
      <c r="C166">
        <v>6</v>
      </c>
      <c r="D166" s="29" t="s">
        <v>41</v>
      </c>
      <c r="E166" s="29" t="s">
        <v>39</v>
      </c>
    </row>
    <row r="167" spans="1:5" x14ac:dyDescent="0.3">
      <c r="A167" s="2">
        <v>45823</v>
      </c>
      <c r="B167">
        <v>2025</v>
      </c>
      <c r="C167">
        <v>6</v>
      </c>
      <c r="D167" s="29" t="s">
        <v>41</v>
      </c>
      <c r="E167" s="29" t="s">
        <v>39</v>
      </c>
    </row>
    <row r="168" spans="1:5" x14ac:dyDescent="0.3">
      <c r="A168" s="2">
        <v>45824</v>
      </c>
      <c r="B168">
        <v>2025</v>
      </c>
      <c r="C168">
        <v>6</v>
      </c>
      <c r="D168" s="29" t="s">
        <v>41</v>
      </c>
      <c r="E168" s="29" t="s">
        <v>39</v>
      </c>
    </row>
    <row r="169" spans="1:5" x14ac:dyDescent="0.3">
      <c r="A169" s="2">
        <v>45825</v>
      </c>
      <c r="B169">
        <v>2025</v>
      </c>
      <c r="C169">
        <v>6</v>
      </c>
      <c r="D169" s="29" t="s">
        <v>41</v>
      </c>
      <c r="E169" s="29" t="s">
        <v>39</v>
      </c>
    </row>
    <row r="170" spans="1:5" x14ac:dyDescent="0.3">
      <c r="A170" s="2">
        <v>45826</v>
      </c>
      <c r="B170">
        <v>2025</v>
      </c>
      <c r="C170">
        <v>6</v>
      </c>
      <c r="D170" s="29" t="s">
        <v>41</v>
      </c>
      <c r="E170" s="29" t="s">
        <v>39</v>
      </c>
    </row>
    <row r="171" spans="1:5" x14ac:dyDescent="0.3">
      <c r="A171" s="2">
        <v>45827</v>
      </c>
      <c r="B171">
        <v>2025</v>
      </c>
      <c r="C171">
        <v>6</v>
      </c>
      <c r="D171" s="29" t="s">
        <v>41</v>
      </c>
      <c r="E171" s="29" t="s">
        <v>39</v>
      </c>
    </row>
    <row r="172" spans="1:5" x14ac:dyDescent="0.3">
      <c r="A172" s="2">
        <v>45828</v>
      </c>
      <c r="B172">
        <v>2025</v>
      </c>
      <c r="C172">
        <v>6</v>
      </c>
      <c r="D172" s="29" t="s">
        <v>41</v>
      </c>
      <c r="E172" s="29" t="s">
        <v>39</v>
      </c>
    </row>
    <row r="173" spans="1:5" x14ac:dyDescent="0.3">
      <c r="A173" s="2">
        <v>45829</v>
      </c>
      <c r="B173">
        <v>2025</v>
      </c>
      <c r="C173">
        <v>6</v>
      </c>
      <c r="D173" s="29" t="s">
        <v>41</v>
      </c>
      <c r="E173" s="29" t="s">
        <v>39</v>
      </c>
    </row>
    <row r="174" spans="1:5" x14ac:dyDescent="0.3">
      <c r="A174" s="2">
        <v>45830</v>
      </c>
      <c r="B174">
        <v>2025</v>
      </c>
      <c r="C174">
        <v>6</v>
      </c>
      <c r="D174" s="29" t="s">
        <v>41</v>
      </c>
      <c r="E174" s="29" t="s">
        <v>39</v>
      </c>
    </row>
    <row r="175" spans="1:5" x14ac:dyDescent="0.3">
      <c r="A175" s="2">
        <v>45831</v>
      </c>
      <c r="B175">
        <v>2025</v>
      </c>
      <c r="C175">
        <v>6</v>
      </c>
      <c r="D175" s="29" t="s">
        <v>41</v>
      </c>
      <c r="E175" s="29" t="s">
        <v>39</v>
      </c>
    </row>
    <row r="176" spans="1:5" x14ac:dyDescent="0.3">
      <c r="A176" s="2">
        <v>45832</v>
      </c>
      <c r="B176">
        <v>2025</v>
      </c>
      <c r="C176">
        <v>6</v>
      </c>
      <c r="D176" s="29" t="s">
        <v>41</v>
      </c>
      <c r="E176" s="29" t="s">
        <v>39</v>
      </c>
    </row>
    <row r="177" spans="1:5" x14ac:dyDescent="0.3">
      <c r="A177" s="2">
        <v>45833</v>
      </c>
      <c r="B177">
        <v>2025</v>
      </c>
      <c r="C177">
        <v>6</v>
      </c>
      <c r="D177" s="29" t="s">
        <v>41</v>
      </c>
      <c r="E177" s="29" t="s">
        <v>39</v>
      </c>
    </row>
    <row r="178" spans="1:5" x14ac:dyDescent="0.3">
      <c r="A178" s="2">
        <v>45834</v>
      </c>
      <c r="B178">
        <v>2025</v>
      </c>
      <c r="C178">
        <v>6</v>
      </c>
      <c r="D178" s="29" t="s">
        <v>41</v>
      </c>
      <c r="E178" s="29" t="s">
        <v>39</v>
      </c>
    </row>
    <row r="179" spans="1:5" x14ac:dyDescent="0.3">
      <c r="A179" s="2">
        <v>45835</v>
      </c>
      <c r="B179">
        <v>2025</v>
      </c>
      <c r="C179">
        <v>6</v>
      </c>
      <c r="D179" s="29" t="s">
        <v>41</v>
      </c>
      <c r="E179" s="29" t="s">
        <v>39</v>
      </c>
    </row>
    <row r="180" spans="1:5" x14ac:dyDescent="0.3">
      <c r="A180" s="2">
        <v>45836</v>
      </c>
      <c r="B180">
        <v>2025</v>
      </c>
      <c r="C180">
        <v>6</v>
      </c>
      <c r="D180" s="29" t="s">
        <v>41</v>
      </c>
      <c r="E180" s="29" t="s">
        <v>39</v>
      </c>
    </row>
    <row r="181" spans="1:5" x14ac:dyDescent="0.3">
      <c r="A181" s="2">
        <v>45837</v>
      </c>
      <c r="B181">
        <v>2025</v>
      </c>
      <c r="C181">
        <v>6</v>
      </c>
      <c r="D181" s="29" t="s">
        <v>41</v>
      </c>
      <c r="E181" s="29" t="s">
        <v>39</v>
      </c>
    </row>
    <row r="182" spans="1:5" x14ac:dyDescent="0.3">
      <c r="A182" s="2">
        <v>45838</v>
      </c>
      <c r="B182">
        <v>2025</v>
      </c>
      <c r="C182">
        <v>6</v>
      </c>
      <c r="D182" s="29" t="s">
        <v>41</v>
      </c>
      <c r="E182" s="29" t="s">
        <v>39</v>
      </c>
    </row>
    <row r="183" spans="1:5" x14ac:dyDescent="0.3">
      <c r="A183" s="2">
        <v>45839</v>
      </c>
      <c r="B183">
        <v>2025</v>
      </c>
      <c r="C183">
        <v>7</v>
      </c>
      <c r="D183" s="29" t="s">
        <v>42</v>
      </c>
      <c r="E183" s="29" t="s">
        <v>43</v>
      </c>
    </row>
    <row r="184" spans="1:5" x14ac:dyDescent="0.3">
      <c r="A184" s="2">
        <v>45840</v>
      </c>
      <c r="B184">
        <v>2025</v>
      </c>
      <c r="C184">
        <v>7</v>
      </c>
      <c r="D184" s="29" t="s">
        <v>42</v>
      </c>
      <c r="E184" s="29" t="s">
        <v>43</v>
      </c>
    </row>
    <row r="185" spans="1:5" x14ac:dyDescent="0.3">
      <c r="A185" s="2">
        <v>45841</v>
      </c>
      <c r="B185">
        <v>2025</v>
      </c>
      <c r="C185">
        <v>7</v>
      </c>
      <c r="D185" s="29" t="s">
        <v>42</v>
      </c>
      <c r="E185" s="29" t="s">
        <v>43</v>
      </c>
    </row>
    <row r="186" spans="1:5" x14ac:dyDescent="0.3">
      <c r="A186" s="2">
        <v>45842</v>
      </c>
      <c r="B186">
        <v>2025</v>
      </c>
      <c r="C186">
        <v>7</v>
      </c>
      <c r="D186" s="29" t="s">
        <v>42</v>
      </c>
      <c r="E186" s="29" t="s">
        <v>43</v>
      </c>
    </row>
    <row r="187" spans="1:5" x14ac:dyDescent="0.3">
      <c r="A187" s="2">
        <v>45843</v>
      </c>
      <c r="B187">
        <v>2025</v>
      </c>
      <c r="C187">
        <v>7</v>
      </c>
      <c r="D187" s="29" t="s">
        <v>42</v>
      </c>
      <c r="E187" s="29" t="s">
        <v>43</v>
      </c>
    </row>
    <row r="188" spans="1:5" x14ac:dyDescent="0.3">
      <c r="A188" s="2">
        <v>45844</v>
      </c>
      <c r="B188">
        <v>2025</v>
      </c>
      <c r="C188">
        <v>7</v>
      </c>
      <c r="D188" s="29" t="s">
        <v>42</v>
      </c>
      <c r="E188" s="29" t="s">
        <v>43</v>
      </c>
    </row>
    <row r="189" spans="1:5" x14ac:dyDescent="0.3">
      <c r="A189" s="2">
        <v>45845</v>
      </c>
      <c r="B189">
        <v>2025</v>
      </c>
      <c r="C189">
        <v>7</v>
      </c>
      <c r="D189" s="29" t="s">
        <v>42</v>
      </c>
      <c r="E189" s="29" t="s">
        <v>43</v>
      </c>
    </row>
    <row r="190" spans="1:5" x14ac:dyDescent="0.3">
      <c r="A190" s="2">
        <v>45846</v>
      </c>
      <c r="B190">
        <v>2025</v>
      </c>
      <c r="C190">
        <v>7</v>
      </c>
      <c r="D190" s="29" t="s">
        <v>42</v>
      </c>
      <c r="E190" s="29" t="s">
        <v>43</v>
      </c>
    </row>
    <row r="191" spans="1:5" x14ac:dyDescent="0.3">
      <c r="A191" s="2">
        <v>45847</v>
      </c>
      <c r="B191">
        <v>2025</v>
      </c>
      <c r="C191">
        <v>7</v>
      </c>
      <c r="D191" s="29" t="s">
        <v>42</v>
      </c>
      <c r="E191" s="29" t="s">
        <v>43</v>
      </c>
    </row>
    <row r="192" spans="1:5" x14ac:dyDescent="0.3">
      <c r="A192" s="2">
        <v>45848</v>
      </c>
      <c r="B192">
        <v>2025</v>
      </c>
      <c r="C192">
        <v>7</v>
      </c>
      <c r="D192" s="29" t="s">
        <v>42</v>
      </c>
      <c r="E192" s="29" t="s">
        <v>43</v>
      </c>
    </row>
    <row r="193" spans="1:5" x14ac:dyDescent="0.3">
      <c r="A193" s="2">
        <v>45849</v>
      </c>
      <c r="B193">
        <v>2025</v>
      </c>
      <c r="C193">
        <v>7</v>
      </c>
      <c r="D193" s="29" t="s">
        <v>42</v>
      </c>
      <c r="E193" s="29" t="s">
        <v>43</v>
      </c>
    </row>
    <row r="194" spans="1:5" x14ac:dyDescent="0.3">
      <c r="A194" s="2">
        <v>45850</v>
      </c>
      <c r="B194">
        <v>2025</v>
      </c>
      <c r="C194">
        <v>7</v>
      </c>
      <c r="D194" s="29" t="s">
        <v>42</v>
      </c>
      <c r="E194" s="29" t="s">
        <v>43</v>
      </c>
    </row>
    <row r="195" spans="1:5" x14ac:dyDescent="0.3">
      <c r="A195" s="2">
        <v>45851</v>
      </c>
      <c r="B195">
        <v>2025</v>
      </c>
      <c r="C195">
        <v>7</v>
      </c>
      <c r="D195" s="29" t="s">
        <v>42</v>
      </c>
      <c r="E195" s="29" t="s">
        <v>43</v>
      </c>
    </row>
    <row r="196" spans="1:5" x14ac:dyDescent="0.3">
      <c r="A196" s="2">
        <v>45852</v>
      </c>
      <c r="B196">
        <v>2025</v>
      </c>
      <c r="C196">
        <v>7</v>
      </c>
      <c r="D196" s="29" t="s">
        <v>42</v>
      </c>
      <c r="E196" s="29" t="s">
        <v>43</v>
      </c>
    </row>
    <row r="197" spans="1:5" x14ac:dyDescent="0.3">
      <c r="A197" s="2">
        <v>45853</v>
      </c>
      <c r="B197">
        <v>2025</v>
      </c>
      <c r="C197">
        <v>7</v>
      </c>
      <c r="D197" s="29" t="s">
        <v>42</v>
      </c>
      <c r="E197" s="29" t="s">
        <v>43</v>
      </c>
    </row>
    <row r="198" spans="1:5" x14ac:dyDescent="0.3">
      <c r="A198" s="2">
        <v>45854</v>
      </c>
      <c r="B198">
        <v>2025</v>
      </c>
      <c r="C198">
        <v>7</v>
      </c>
      <c r="D198" s="29" t="s">
        <v>42</v>
      </c>
      <c r="E198" s="29" t="s">
        <v>43</v>
      </c>
    </row>
    <row r="199" spans="1:5" x14ac:dyDescent="0.3">
      <c r="A199" s="2">
        <v>45855</v>
      </c>
      <c r="B199">
        <v>2025</v>
      </c>
      <c r="C199">
        <v>7</v>
      </c>
      <c r="D199" s="29" t="s">
        <v>42</v>
      </c>
      <c r="E199" s="29" t="s">
        <v>43</v>
      </c>
    </row>
    <row r="200" spans="1:5" x14ac:dyDescent="0.3">
      <c r="A200" s="2">
        <v>45856</v>
      </c>
      <c r="B200">
        <v>2025</v>
      </c>
      <c r="C200">
        <v>7</v>
      </c>
      <c r="D200" s="29" t="s">
        <v>42</v>
      </c>
      <c r="E200" s="29" t="s">
        <v>43</v>
      </c>
    </row>
    <row r="201" spans="1:5" x14ac:dyDescent="0.3">
      <c r="A201" s="2">
        <v>45857</v>
      </c>
      <c r="B201">
        <v>2025</v>
      </c>
      <c r="C201">
        <v>7</v>
      </c>
      <c r="D201" s="29" t="s">
        <v>42</v>
      </c>
      <c r="E201" s="29" t="s">
        <v>43</v>
      </c>
    </row>
    <row r="202" spans="1:5" x14ac:dyDescent="0.3">
      <c r="A202" s="2">
        <v>45858</v>
      </c>
      <c r="B202">
        <v>2025</v>
      </c>
      <c r="C202">
        <v>7</v>
      </c>
      <c r="D202" s="29" t="s">
        <v>42</v>
      </c>
      <c r="E202" s="29" t="s">
        <v>43</v>
      </c>
    </row>
    <row r="203" spans="1:5" x14ac:dyDescent="0.3">
      <c r="A203" s="2">
        <v>45859</v>
      </c>
      <c r="B203">
        <v>2025</v>
      </c>
      <c r="C203">
        <v>7</v>
      </c>
      <c r="D203" s="29" t="s">
        <v>42</v>
      </c>
      <c r="E203" s="29" t="s">
        <v>43</v>
      </c>
    </row>
    <row r="204" spans="1:5" x14ac:dyDescent="0.3">
      <c r="A204" s="2">
        <v>45860</v>
      </c>
      <c r="B204">
        <v>2025</v>
      </c>
      <c r="C204">
        <v>7</v>
      </c>
      <c r="D204" s="29" t="s">
        <v>42</v>
      </c>
      <c r="E204" s="29" t="s">
        <v>43</v>
      </c>
    </row>
    <row r="205" spans="1:5" x14ac:dyDescent="0.3">
      <c r="A205" s="2">
        <v>45861</v>
      </c>
      <c r="B205">
        <v>2025</v>
      </c>
      <c r="C205">
        <v>7</v>
      </c>
      <c r="D205" s="29" t="s">
        <v>42</v>
      </c>
      <c r="E205" s="29" t="s">
        <v>43</v>
      </c>
    </row>
    <row r="206" spans="1:5" x14ac:dyDescent="0.3">
      <c r="A206" s="2">
        <v>45862</v>
      </c>
      <c r="B206">
        <v>2025</v>
      </c>
      <c r="C206">
        <v>7</v>
      </c>
      <c r="D206" s="29" t="s">
        <v>42</v>
      </c>
      <c r="E206" s="29" t="s">
        <v>43</v>
      </c>
    </row>
    <row r="207" spans="1:5" x14ac:dyDescent="0.3">
      <c r="A207" s="2">
        <v>45863</v>
      </c>
      <c r="B207">
        <v>2025</v>
      </c>
      <c r="C207">
        <v>7</v>
      </c>
      <c r="D207" s="29" t="s">
        <v>42</v>
      </c>
      <c r="E207" s="29" t="s">
        <v>43</v>
      </c>
    </row>
    <row r="208" spans="1:5" x14ac:dyDescent="0.3">
      <c r="A208" s="2">
        <v>45864</v>
      </c>
      <c r="B208">
        <v>2025</v>
      </c>
      <c r="C208">
        <v>7</v>
      </c>
      <c r="D208" s="29" t="s">
        <v>42</v>
      </c>
      <c r="E208" s="29" t="s">
        <v>43</v>
      </c>
    </row>
    <row r="209" spans="1:5" x14ac:dyDescent="0.3">
      <c r="A209" s="2">
        <v>45865</v>
      </c>
      <c r="B209">
        <v>2025</v>
      </c>
      <c r="C209">
        <v>7</v>
      </c>
      <c r="D209" s="29" t="s">
        <v>42</v>
      </c>
      <c r="E209" s="29" t="s">
        <v>43</v>
      </c>
    </row>
    <row r="210" spans="1:5" x14ac:dyDescent="0.3">
      <c r="A210" s="2">
        <v>45866</v>
      </c>
      <c r="B210">
        <v>2025</v>
      </c>
      <c r="C210">
        <v>7</v>
      </c>
      <c r="D210" s="29" t="s">
        <v>42</v>
      </c>
      <c r="E210" s="29" t="s">
        <v>43</v>
      </c>
    </row>
    <row r="211" spans="1:5" x14ac:dyDescent="0.3">
      <c r="A211" s="2">
        <v>45867</v>
      </c>
      <c r="B211">
        <v>2025</v>
      </c>
      <c r="C211">
        <v>7</v>
      </c>
      <c r="D211" s="29" t="s">
        <v>42</v>
      </c>
      <c r="E211" s="29" t="s">
        <v>43</v>
      </c>
    </row>
    <row r="212" spans="1:5" x14ac:dyDescent="0.3">
      <c r="A212" s="2">
        <v>45868</v>
      </c>
      <c r="B212">
        <v>2025</v>
      </c>
      <c r="C212">
        <v>7</v>
      </c>
      <c r="D212" s="29" t="s">
        <v>42</v>
      </c>
      <c r="E212" s="29" t="s">
        <v>43</v>
      </c>
    </row>
    <row r="213" spans="1:5" x14ac:dyDescent="0.3">
      <c r="A213" s="2">
        <v>45869</v>
      </c>
      <c r="B213">
        <v>2025</v>
      </c>
      <c r="C213">
        <v>7</v>
      </c>
      <c r="D213" s="29" t="s">
        <v>42</v>
      </c>
      <c r="E213" s="29" t="s">
        <v>43</v>
      </c>
    </row>
    <row r="214" spans="1:5" x14ac:dyDescent="0.3">
      <c r="A214" s="2">
        <v>45870</v>
      </c>
      <c r="B214">
        <v>2025</v>
      </c>
      <c r="C214">
        <v>8</v>
      </c>
      <c r="D214" s="29" t="s">
        <v>44</v>
      </c>
      <c r="E214" s="29" t="s">
        <v>43</v>
      </c>
    </row>
    <row r="215" spans="1:5" x14ac:dyDescent="0.3">
      <c r="A215" s="2">
        <v>45871</v>
      </c>
      <c r="B215">
        <v>2025</v>
      </c>
      <c r="C215">
        <v>8</v>
      </c>
      <c r="D215" s="29" t="s">
        <v>44</v>
      </c>
      <c r="E215" s="29" t="s">
        <v>43</v>
      </c>
    </row>
    <row r="216" spans="1:5" x14ac:dyDescent="0.3">
      <c r="A216" s="2">
        <v>45872</v>
      </c>
      <c r="B216">
        <v>2025</v>
      </c>
      <c r="C216">
        <v>8</v>
      </c>
      <c r="D216" s="29" t="s">
        <v>44</v>
      </c>
      <c r="E216" s="29" t="s">
        <v>43</v>
      </c>
    </row>
    <row r="217" spans="1:5" x14ac:dyDescent="0.3">
      <c r="A217" s="2">
        <v>45873</v>
      </c>
      <c r="B217">
        <v>2025</v>
      </c>
      <c r="C217">
        <v>8</v>
      </c>
      <c r="D217" s="29" t="s">
        <v>44</v>
      </c>
      <c r="E217" s="29" t="s">
        <v>43</v>
      </c>
    </row>
    <row r="218" spans="1:5" x14ac:dyDescent="0.3">
      <c r="A218" s="2">
        <v>45874</v>
      </c>
      <c r="B218">
        <v>2025</v>
      </c>
      <c r="C218">
        <v>8</v>
      </c>
      <c r="D218" s="29" t="s">
        <v>44</v>
      </c>
      <c r="E218" s="29" t="s">
        <v>43</v>
      </c>
    </row>
    <row r="219" spans="1:5" x14ac:dyDescent="0.3">
      <c r="A219" s="2">
        <v>45875</v>
      </c>
      <c r="B219">
        <v>2025</v>
      </c>
      <c r="C219">
        <v>8</v>
      </c>
      <c r="D219" s="29" t="s">
        <v>44</v>
      </c>
      <c r="E219" s="29" t="s">
        <v>43</v>
      </c>
    </row>
    <row r="220" spans="1:5" x14ac:dyDescent="0.3">
      <c r="A220" s="2">
        <v>45876</v>
      </c>
      <c r="B220">
        <v>2025</v>
      </c>
      <c r="C220">
        <v>8</v>
      </c>
      <c r="D220" s="29" t="s">
        <v>44</v>
      </c>
      <c r="E220" s="29" t="s">
        <v>43</v>
      </c>
    </row>
    <row r="221" spans="1:5" x14ac:dyDescent="0.3">
      <c r="A221" s="2">
        <v>45877</v>
      </c>
      <c r="B221">
        <v>2025</v>
      </c>
      <c r="C221">
        <v>8</v>
      </c>
      <c r="D221" s="29" t="s">
        <v>44</v>
      </c>
      <c r="E221" s="29" t="s">
        <v>43</v>
      </c>
    </row>
    <row r="222" spans="1:5" x14ac:dyDescent="0.3">
      <c r="A222" s="2">
        <v>45878</v>
      </c>
      <c r="B222">
        <v>2025</v>
      </c>
      <c r="C222">
        <v>8</v>
      </c>
      <c r="D222" s="29" t="s">
        <v>44</v>
      </c>
      <c r="E222" s="29" t="s">
        <v>43</v>
      </c>
    </row>
    <row r="223" spans="1:5" x14ac:dyDescent="0.3">
      <c r="A223" s="2">
        <v>45879</v>
      </c>
      <c r="B223">
        <v>2025</v>
      </c>
      <c r="C223">
        <v>8</v>
      </c>
      <c r="D223" s="29" t="s">
        <v>44</v>
      </c>
      <c r="E223" s="29" t="s">
        <v>43</v>
      </c>
    </row>
    <row r="224" spans="1:5" x14ac:dyDescent="0.3">
      <c r="A224" s="2">
        <v>45880</v>
      </c>
      <c r="B224">
        <v>2025</v>
      </c>
      <c r="C224">
        <v>8</v>
      </c>
      <c r="D224" s="29" t="s">
        <v>44</v>
      </c>
      <c r="E224" s="29" t="s">
        <v>43</v>
      </c>
    </row>
    <row r="225" spans="1:5" x14ac:dyDescent="0.3">
      <c r="A225" s="2">
        <v>45881</v>
      </c>
      <c r="B225">
        <v>2025</v>
      </c>
      <c r="C225">
        <v>8</v>
      </c>
      <c r="D225" s="29" t="s">
        <v>44</v>
      </c>
      <c r="E225" s="29" t="s">
        <v>43</v>
      </c>
    </row>
    <row r="226" spans="1:5" x14ac:dyDescent="0.3">
      <c r="A226" s="2">
        <v>45882</v>
      </c>
      <c r="B226">
        <v>2025</v>
      </c>
      <c r="C226">
        <v>8</v>
      </c>
      <c r="D226" s="29" t="s">
        <v>44</v>
      </c>
      <c r="E226" s="29" t="s">
        <v>43</v>
      </c>
    </row>
    <row r="227" spans="1:5" x14ac:dyDescent="0.3">
      <c r="A227" s="2">
        <v>45883</v>
      </c>
      <c r="B227">
        <v>2025</v>
      </c>
      <c r="C227">
        <v>8</v>
      </c>
      <c r="D227" s="29" t="s">
        <v>44</v>
      </c>
      <c r="E227" s="29" t="s">
        <v>43</v>
      </c>
    </row>
    <row r="228" spans="1:5" x14ac:dyDescent="0.3">
      <c r="A228" s="2">
        <v>45884</v>
      </c>
      <c r="B228">
        <v>2025</v>
      </c>
      <c r="C228">
        <v>8</v>
      </c>
      <c r="D228" s="29" t="s">
        <v>44</v>
      </c>
      <c r="E228" s="29" t="s">
        <v>43</v>
      </c>
    </row>
    <row r="229" spans="1:5" x14ac:dyDescent="0.3">
      <c r="A229" s="2">
        <v>45885</v>
      </c>
      <c r="B229">
        <v>2025</v>
      </c>
      <c r="C229">
        <v>8</v>
      </c>
      <c r="D229" s="29" t="s">
        <v>44</v>
      </c>
      <c r="E229" s="29" t="s">
        <v>43</v>
      </c>
    </row>
    <row r="230" spans="1:5" x14ac:dyDescent="0.3">
      <c r="A230" s="2">
        <v>45886</v>
      </c>
      <c r="B230">
        <v>2025</v>
      </c>
      <c r="C230">
        <v>8</v>
      </c>
      <c r="D230" s="29" t="s">
        <v>44</v>
      </c>
      <c r="E230" s="29" t="s">
        <v>43</v>
      </c>
    </row>
    <row r="231" spans="1:5" x14ac:dyDescent="0.3">
      <c r="A231" s="2">
        <v>45887</v>
      </c>
      <c r="B231">
        <v>2025</v>
      </c>
      <c r="C231">
        <v>8</v>
      </c>
      <c r="D231" s="29" t="s">
        <v>44</v>
      </c>
      <c r="E231" s="29" t="s">
        <v>43</v>
      </c>
    </row>
    <row r="232" spans="1:5" x14ac:dyDescent="0.3">
      <c r="A232" s="2">
        <v>45888</v>
      </c>
      <c r="B232">
        <v>2025</v>
      </c>
      <c r="C232">
        <v>8</v>
      </c>
      <c r="D232" s="29" t="s">
        <v>44</v>
      </c>
      <c r="E232" s="29" t="s">
        <v>43</v>
      </c>
    </row>
    <row r="233" spans="1:5" x14ac:dyDescent="0.3">
      <c r="A233" s="2">
        <v>45889</v>
      </c>
      <c r="B233">
        <v>2025</v>
      </c>
      <c r="C233">
        <v>8</v>
      </c>
      <c r="D233" s="29" t="s">
        <v>44</v>
      </c>
      <c r="E233" s="29" t="s">
        <v>43</v>
      </c>
    </row>
    <row r="234" spans="1:5" x14ac:dyDescent="0.3">
      <c r="A234" s="2">
        <v>45890</v>
      </c>
      <c r="B234">
        <v>2025</v>
      </c>
      <c r="C234">
        <v>8</v>
      </c>
      <c r="D234" s="29" t="s">
        <v>44</v>
      </c>
      <c r="E234" s="29" t="s">
        <v>43</v>
      </c>
    </row>
    <row r="235" spans="1:5" x14ac:dyDescent="0.3">
      <c r="A235" s="2">
        <v>45891</v>
      </c>
      <c r="B235">
        <v>2025</v>
      </c>
      <c r="C235">
        <v>8</v>
      </c>
      <c r="D235" s="29" t="s">
        <v>44</v>
      </c>
      <c r="E235" s="29" t="s">
        <v>43</v>
      </c>
    </row>
    <row r="236" spans="1:5" x14ac:dyDescent="0.3">
      <c r="A236" s="2">
        <v>45892</v>
      </c>
      <c r="B236">
        <v>2025</v>
      </c>
      <c r="C236">
        <v>8</v>
      </c>
      <c r="D236" s="29" t="s">
        <v>44</v>
      </c>
      <c r="E236" s="29" t="s">
        <v>43</v>
      </c>
    </row>
    <row r="237" spans="1:5" x14ac:dyDescent="0.3">
      <c r="A237" s="2">
        <v>45893</v>
      </c>
      <c r="B237">
        <v>2025</v>
      </c>
      <c r="C237">
        <v>8</v>
      </c>
      <c r="D237" s="29" t="s">
        <v>44</v>
      </c>
      <c r="E237" s="29" t="s">
        <v>43</v>
      </c>
    </row>
    <row r="238" spans="1:5" x14ac:dyDescent="0.3">
      <c r="A238" s="2">
        <v>45894</v>
      </c>
      <c r="B238">
        <v>2025</v>
      </c>
      <c r="C238">
        <v>8</v>
      </c>
      <c r="D238" s="29" t="s">
        <v>44</v>
      </c>
      <c r="E238" s="29" t="s">
        <v>43</v>
      </c>
    </row>
    <row r="239" spans="1:5" x14ac:dyDescent="0.3">
      <c r="A239" s="2">
        <v>45895</v>
      </c>
      <c r="B239">
        <v>2025</v>
      </c>
      <c r="C239">
        <v>8</v>
      </c>
      <c r="D239" s="29" t="s">
        <v>44</v>
      </c>
      <c r="E239" s="29" t="s">
        <v>43</v>
      </c>
    </row>
    <row r="240" spans="1:5" x14ac:dyDescent="0.3">
      <c r="A240" s="2">
        <v>45896</v>
      </c>
      <c r="B240">
        <v>2025</v>
      </c>
      <c r="C240">
        <v>8</v>
      </c>
      <c r="D240" s="29" t="s">
        <v>44</v>
      </c>
      <c r="E240" s="29" t="s">
        <v>43</v>
      </c>
    </row>
    <row r="241" spans="1:5" x14ac:dyDescent="0.3">
      <c r="A241" s="2">
        <v>45897</v>
      </c>
      <c r="B241">
        <v>2025</v>
      </c>
      <c r="C241">
        <v>8</v>
      </c>
      <c r="D241" s="29" t="s">
        <v>44</v>
      </c>
      <c r="E241" s="29" t="s">
        <v>43</v>
      </c>
    </row>
    <row r="242" spans="1:5" x14ac:dyDescent="0.3">
      <c r="A242" s="2">
        <v>45898</v>
      </c>
      <c r="B242">
        <v>2025</v>
      </c>
      <c r="C242">
        <v>8</v>
      </c>
      <c r="D242" s="29" t="s">
        <v>44</v>
      </c>
      <c r="E242" s="29" t="s">
        <v>43</v>
      </c>
    </row>
    <row r="243" spans="1:5" x14ac:dyDescent="0.3">
      <c r="A243" s="2">
        <v>45899</v>
      </c>
      <c r="B243">
        <v>2025</v>
      </c>
      <c r="C243">
        <v>8</v>
      </c>
      <c r="D243" s="29" t="s">
        <v>44</v>
      </c>
      <c r="E243" s="29" t="s">
        <v>43</v>
      </c>
    </row>
    <row r="244" spans="1:5" x14ac:dyDescent="0.3">
      <c r="A244" s="2">
        <v>45900</v>
      </c>
      <c r="B244">
        <v>2025</v>
      </c>
      <c r="C244">
        <v>8</v>
      </c>
      <c r="D244" s="29" t="s">
        <v>44</v>
      </c>
      <c r="E244" s="29" t="s">
        <v>43</v>
      </c>
    </row>
    <row r="245" spans="1:5" x14ac:dyDescent="0.3">
      <c r="A245" s="2">
        <v>45901</v>
      </c>
      <c r="B245">
        <v>2025</v>
      </c>
      <c r="C245">
        <v>9</v>
      </c>
      <c r="D245" s="29" t="s">
        <v>45</v>
      </c>
      <c r="E245" s="29" t="s">
        <v>43</v>
      </c>
    </row>
    <row r="246" spans="1:5" x14ac:dyDescent="0.3">
      <c r="A246" s="2">
        <v>45902</v>
      </c>
      <c r="B246">
        <v>2025</v>
      </c>
      <c r="C246">
        <v>9</v>
      </c>
      <c r="D246" s="29" t="s">
        <v>45</v>
      </c>
      <c r="E246" s="29" t="s">
        <v>43</v>
      </c>
    </row>
    <row r="247" spans="1:5" x14ac:dyDescent="0.3">
      <c r="A247" s="2">
        <v>45903</v>
      </c>
      <c r="B247">
        <v>2025</v>
      </c>
      <c r="C247">
        <v>9</v>
      </c>
      <c r="D247" s="29" t="s">
        <v>45</v>
      </c>
      <c r="E247" s="29" t="s">
        <v>43</v>
      </c>
    </row>
    <row r="248" spans="1:5" x14ac:dyDescent="0.3">
      <c r="A248" s="2">
        <v>45904</v>
      </c>
      <c r="B248">
        <v>2025</v>
      </c>
      <c r="C248">
        <v>9</v>
      </c>
      <c r="D248" s="29" t="s">
        <v>45</v>
      </c>
      <c r="E248" s="29" t="s">
        <v>43</v>
      </c>
    </row>
    <row r="249" spans="1:5" x14ac:dyDescent="0.3">
      <c r="A249" s="2">
        <v>45905</v>
      </c>
      <c r="B249">
        <v>2025</v>
      </c>
      <c r="C249">
        <v>9</v>
      </c>
      <c r="D249" s="29" t="s">
        <v>45</v>
      </c>
      <c r="E249" s="29" t="s">
        <v>43</v>
      </c>
    </row>
    <row r="250" spans="1:5" x14ac:dyDescent="0.3">
      <c r="A250" s="2">
        <v>45906</v>
      </c>
      <c r="B250">
        <v>2025</v>
      </c>
      <c r="C250">
        <v>9</v>
      </c>
      <c r="D250" s="29" t="s">
        <v>45</v>
      </c>
      <c r="E250" s="29" t="s">
        <v>43</v>
      </c>
    </row>
    <row r="251" spans="1:5" x14ac:dyDescent="0.3">
      <c r="A251" s="2">
        <v>45907</v>
      </c>
      <c r="B251">
        <v>2025</v>
      </c>
      <c r="C251">
        <v>9</v>
      </c>
      <c r="D251" s="29" t="s">
        <v>45</v>
      </c>
      <c r="E251" s="29" t="s">
        <v>43</v>
      </c>
    </row>
    <row r="252" spans="1:5" x14ac:dyDescent="0.3">
      <c r="A252" s="2">
        <v>45908</v>
      </c>
      <c r="B252">
        <v>2025</v>
      </c>
      <c r="C252">
        <v>9</v>
      </c>
      <c r="D252" s="29" t="s">
        <v>45</v>
      </c>
      <c r="E252" s="29" t="s">
        <v>43</v>
      </c>
    </row>
    <row r="253" spans="1:5" x14ac:dyDescent="0.3">
      <c r="A253" s="2">
        <v>45909</v>
      </c>
      <c r="B253">
        <v>2025</v>
      </c>
      <c r="C253">
        <v>9</v>
      </c>
      <c r="D253" s="29" t="s">
        <v>45</v>
      </c>
      <c r="E253" s="29" t="s">
        <v>43</v>
      </c>
    </row>
    <row r="254" spans="1:5" x14ac:dyDescent="0.3">
      <c r="A254" s="2">
        <v>45910</v>
      </c>
      <c r="B254">
        <v>2025</v>
      </c>
      <c r="C254">
        <v>9</v>
      </c>
      <c r="D254" s="29" t="s">
        <v>45</v>
      </c>
      <c r="E254" s="29" t="s">
        <v>43</v>
      </c>
    </row>
    <row r="255" spans="1:5" x14ac:dyDescent="0.3">
      <c r="A255" s="2">
        <v>45911</v>
      </c>
      <c r="B255">
        <v>2025</v>
      </c>
      <c r="C255">
        <v>9</v>
      </c>
      <c r="D255" s="29" t="s">
        <v>45</v>
      </c>
      <c r="E255" s="29" t="s">
        <v>43</v>
      </c>
    </row>
    <row r="256" spans="1:5" x14ac:dyDescent="0.3">
      <c r="A256" s="2">
        <v>45912</v>
      </c>
      <c r="B256">
        <v>2025</v>
      </c>
      <c r="C256">
        <v>9</v>
      </c>
      <c r="D256" s="29" t="s">
        <v>45</v>
      </c>
      <c r="E256" s="29" t="s">
        <v>43</v>
      </c>
    </row>
    <row r="257" spans="1:5" x14ac:dyDescent="0.3">
      <c r="A257" s="2">
        <v>45913</v>
      </c>
      <c r="B257">
        <v>2025</v>
      </c>
      <c r="C257">
        <v>9</v>
      </c>
      <c r="D257" s="29" t="s">
        <v>45</v>
      </c>
      <c r="E257" s="29" t="s">
        <v>43</v>
      </c>
    </row>
    <row r="258" spans="1:5" x14ac:dyDescent="0.3">
      <c r="A258" s="2">
        <v>45914</v>
      </c>
      <c r="B258">
        <v>2025</v>
      </c>
      <c r="C258">
        <v>9</v>
      </c>
      <c r="D258" s="29" t="s">
        <v>45</v>
      </c>
      <c r="E258" s="29" t="s">
        <v>43</v>
      </c>
    </row>
    <row r="259" spans="1:5" x14ac:dyDescent="0.3">
      <c r="A259" s="2">
        <v>45915</v>
      </c>
      <c r="B259">
        <v>2025</v>
      </c>
      <c r="C259">
        <v>9</v>
      </c>
      <c r="D259" s="29" t="s">
        <v>45</v>
      </c>
      <c r="E259" s="29" t="s">
        <v>43</v>
      </c>
    </row>
    <row r="260" spans="1:5" x14ac:dyDescent="0.3">
      <c r="A260" s="2">
        <v>45916</v>
      </c>
      <c r="B260">
        <v>2025</v>
      </c>
      <c r="C260">
        <v>9</v>
      </c>
      <c r="D260" s="29" t="s">
        <v>45</v>
      </c>
      <c r="E260" s="29" t="s">
        <v>43</v>
      </c>
    </row>
    <row r="261" spans="1:5" x14ac:dyDescent="0.3">
      <c r="A261" s="2">
        <v>45917</v>
      </c>
      <c r="B261">
        <v>2025</v>
      </c>
      <c r="C261">
        <v>9</v>
      </c>
      <c r="D261" s="29" t="s">
        <v>45</v>
      </c>
      <c r="E261" s="29" t="s">
        <v>43</v>
      </c>
    </row>
    <row r="262" spans="1:5" x14ac:dyDescent="0.3">
      <c r="A262" s="2">
        <v>45918</v>
      </c>
      <c r="B262">
        <v>2025</v>
      </c>
      <c r="C262">
        <v>9</v>
      </c>
      <c r="D262" s="29" t="s">
        <v>45</v>
      </c>
      <c r="E262" s="29" t="s">
        <v>43</v>
      </c>
    </row>
    <row r="263" spans="1:5" x14ac:dyDescent="0.3">
      <c r="A263" s="2">
        <v>45919</v>
      </c>
      <c r="B263">
        <v>2025</v>
      </c>
      <c r="C263">
        <v>9</v>
      </c>
      <c r="D263" s="29" t="s">
        <v>45</v>
      </c>
      <c r="E263" s="29" t="s">
        <v>43</v>
      </c>
    </row>
    <row r="264" spans="1:5" x14ac:dyDescent="0.3">
      <c r="A264" s="2">
        <v>45920</v>
      </c>
      <c r="B264">
        <v>2025</v>
      </c>
      <c r="C264">
        <v>9</v>
      </c>
      <c r="D264" s="29" t="s">
        <v>45</v>
      </c>
      <c r="E264" s="29" t="s">
        <v>43</v>
      </c>
    </row>
    <row r="265" spans="1:5" x14ac:dyDescent="0.3">
      <c r="A265" s="2">
        <v>45921</v>
      </c>
      <c r="B265">
        <v>2025</v>
      </c>
      <c r="C265">
        <v>9</v>
      </c>
      <c r="D265" s="29" t="s">
        <v>45</v>
      </c>
      <c r="E265" s="29" t="s">
        <v>43</v>
      </c>
    </row>
    <row r="266" spans="1:5" x14ac:dyDescent="0.3">
      <c r="A266" s="2">
        <v>45922</v>
      </c>
      <c r="B266">
        <v>2025</v>
      </c>
      <c r="C266">
        <v>9</v>
      </c>
      <c r="D266" s="29" t="s">
        <v>45</v>
      </c>
      <c r="E266" s="29" t="s">
        <v>43</v>
      </c>
    </row>
    <row r="267" spans="1:5" x14ac:dyDescent="0.3">
      <c r="A267" s="2">
        <v>45923</v>
      </c>
      <c r="B267">
        <v>2025</v>
      </c>
      <c r="C267">
        <v>9</v>
      </c>
      <c r="D267" s="29" t="s">
        <v>45</v>
      </c>
      <c r="E267" s="29" t="s">
        <v>43</v>
      </c>
    </row>
    <row r="268" spans="1:5" x14ac:dyDescent="0.3">
      <c r="A268" s="2">
        <v>45924</v>
      </c>
      <c r="B268">
        <v>2025</v>
      </c>
      <c r="C268">
        <v>9</v>
      </c>
      <c r="D268" s="29" t="s">
        <v>45</v>
      </c>
      <c r="E268" s="29" t="s">
        <v>43</v>
      </c>
    </row>
    <row r="269" spans="1:5" x14ac:dyDescent="0.3">
      <c r="A269" s="2">
        <v>45925</v>
      </c>
      <c r="B269">
        <v>2025</v>
      </c>
      <c r="C269">
        <v>9</v>
      </c>
      <c r="D269" s="29" t="s">
        <v>45</v>
      </c>
      <c r="E269" s="29" t="s">
        <v>43</v>
      </c>
    </row>
    <row r="270" spans="1:5" x14ac:dyDescent="0.3">
      <c r="A270" s="2">
        <v>45926</v>
      </c>
      <c r="B270">
        <v>2025</v>
      </c>
      <c r="C270">
        <v>9</v>
      </c>
      <c r="D270" s="29" t="s">
        <v>45</v>
      </c>
      <c r="E270" s="29" t="s">
        <v>43</v>
      </c>
    </row>
    <row r="271" spans="1:5" x14ac:dyDescent="0.3">
      <c r="A271" s="2">
        <v>45927</v>
      </c>
      <c r="B271">
        <v>2025</v>
      </c>
      <c r="C271">
        <v>9</v>
      </c>
      <c r="D271" s="29" t="s">
        <v>45</v>
      </c>
      <c r="E271" s="29" t="s">
        <v>43</v>
      </c>
    </row>
    <row r="272" spans="1:5" x14ac:dyDescent="0.3">
      <c r="A272" s="2">
        <v>45928</v>
      </c>
      <c r="B272">
        <v>2025</v>
      </c>
      <c r="C272">
        <v>9</v>
      </c>
      <c r="D272" s="29" t="s">
        <v>45</v>
      </c>
      <c r="E272" s="29" t="s">
        <v>43</v>
      </c>
    </row>
    <row r="273" spans="1:5" x14ac:dyDescent="0.3">
      <c r="A273" s="2">
        <v>45929</v>
      </c>
      <c r="B273">
        <v>2025</v>
      </c>
      <c r="C273">
        <v>9</v>
      </c>
      <c r="D273" s="29" t="s">
        <v>45</v>
      </c>
      <c r="E273" s="29" t="s">
        <v>43</v>
      </c>
    </row>
    <row r="274" spans="1:5" x14ac:dyDescent="0.3">
      <c r="A274" s="2">
        <v>45930</v>
      </c>
      <c r="B274">
        <v>2025</v>
      </c>
      <c r="C274">
        <v>9</v>
      </c>
      <c r="D274" s="29" t="s">
        <v>45</v>
      </c>
      <c r="E274" s="29" t="s">
        <v>43</v>
      </c>
    </row>
    <row r="275" spans="1:5" x14ac:dyDescent="0.3">
      <c r="A275" s="2">
        <v>45931</v>
      </c>
      <c r="B275">
        <v>2025</v>
      </c>
      <c r="C275">
        <v>10</v>
      </c>
      <c r="D275" s="29" t="s">
        <v>46</v>
      </c>
      <c r="E275" s="29" t="s">
        <v>47</v>
      </c>
    </row>
    <row r="276" spans="1:5" x14ac:dyDescent="0.3">
      <c r="A276" s="2">
        <v>45932</v>
      </c>
      <c r="B276">
        <v>2025</v>
      </c>
      <c r="C276">
        <v>10</v>
      </c>
      <c r="D276" s="29" t="s">
        <v>46</v>
      </c>
      <c r="E276" s="29" t="s">
        <v>47</v>
      </c>
    </row>
    <row r="277" spans="1:5" x14ac:dyDescent="0.3">
      <c r="A277" s="2">
        <v>45933</v>
      </c>
      <c r="B277">
        <v>2025</v>
      </c>
      <c r="C277">
        <v>10</v>
      </c>
      <c r="D277" s="29" t="s">
        <v>46</v>
      </c>
      <c r="E277" s="29" t="s">
        <v>47</v>
      </c>
    </row>
    <row r="278" spans="1:5" x14ac:dyDescent="0.3">
      <c r="A278" s="2">
        <v>45934</v>
      </c>
      <c r="B278">
        <v>2025</v>
      </c>
      <c r="C278">
        <v>10</v>
      </c>
      <c r="D278" s="29" t="s">
        <v>46</v>
      </c>
      <c r="E278" s="29" t="s">
        <v>47</v>
      </c>
    </row>
    <row r="279" spans="1:5" x14ac:dyDescent="0.3">
      <c r="A279" s="2">
        <v>45935</v>
      </c>
      <c r="B279">
        <v>2025</v>
      </c>
      <c r="C279">
        <v>10</v>
      </c>
      <c r="D279" s="29" t="s">
        <v>46</v>
      </c>
      <c r="E279" s="29" t="s">
        <v>47</v>
      </c>
    </row>
    <row r="280" spans="1:5" x14ac:dyDescent="0.3">
      <c r="A280" s="2">
        <v>45936</v>
      </c>
      <c r="B280">
        <v>2025</v>
      </c>
      <c r="C280">
        <v>10</v>
      </c>
      <c r="D280" s="29" t="s">
        <v>46</v>
      </c>
      <c r="E280" s="29" t="s">
        <v>47</v>
      </c>
    </row>
    <row r="281" spans="1:5" x14ac:dyDescent="0.3">
      <c r="A281" s="2">
        <v>45937</v>
      </c>
      <c r="B281">
        <v>2025</v>
      </c>
      <c r="C281">
        <v>10</v>
      </c>
      <c r="D281" s="29" t="s">
        <v>46</v>
      </c>
      <c r="E281" s="29" t="s">
        <v>47</v>
      </c>
    </row>
    <row r="282" spans="1:5" x14ac:dyDescent="0.3">
      <c r="A282" s="2">
        <v>45938</v>
      </c>
      <c r="B282">
        <v>2025</v>
      </c>
      <c r="C282">
        <v>10</v>
      </c>
      <c r="D282" s="29" t="s">
        <v>46</v>
      </c>
      <c r="E282" s="29" t="s">
        <v>47</v>
      </c>
    </row>
    <row r="283" spans="1:5" x14ac:dyDescent="0.3">
      <c r="A283" s="2">
        <v>45939</v>
      </c>
      <c r="B283">
        <v>2025</v>
      </c>
      <c r="C283">
        <v>10</v>
      </c>
      <c r="D283" s="29" t="s">
        <v>46</v>
      </c>
      <c r="E283" s="29" t="s">
        <v>47</v>
      </c>
    </row>
    <row r="284" spans="1:5" x14ac:dyDescent="0.3">
      <c r="A284" s="2">
        <v>45940</v>
      </c>
      <c r="B284">
        <v>2025</v>
      </c>
      <c r="C284">
        <v>10</v>
      </c>
      <c r="D284" s="29" t="s">
        <v>46</v>
      </c>
      <c r="E284" s="29" t="s">
        <v>47</v>
      </c>
    </row>
    <row r="285" spans="1:5" x14ac:dyDescent="0.3">
      <c r="A285" s="2">
        <v>45941</v>
      </c>
      <c r="B285">
        <v>2025</v>
      </c>
      <c r="C285">
        <v>10</v>
      </c>
      <c r="D285" s="29" t="s">
        <v>46</v>
      </c>
      <c r="E285" s="29" t="s">
        <v>47</v>
      </c>
    </row>
    <row r="286" spans="1:5" x14ac:dyDescent="0.3">
      <c r="A286" s="2">
        <v>45942</v>
      </c>
      <c r="B286">
        <v>2025</v>
      </c>
      <c r="C286">
        <v>10</v>
      </c>
      <c r="D286" s="29" t="s">
        <v>46</v>
      </c>
      <c r="E286" s="29" t="s">
        <v>47</v>
      </c>
    </row>
    <row r="287" spans="1:5" x14ac:dyDescent="0.3">
      <c r="A287" s="2">
        <v>45943</v>
      </c>
      <c r="B287">
        <v>2025</v>
      </c>
      <c r="C287">
        <v>10</v>
      </c>
      <c r="D287" s="29" t="s">
        <v>46</v>
      </c>
      <c r="E287" s="29" t="s">
        <v>47</v>
      </c>
    </row>
    <row r="288" spans="1:5" x14ac:dyDescent="0.3">
      <c r="A288" s="2">
        <v>45944</v>
      </c>
      <c r="B288">
        <v>2025</v>
      </c>
      <c r="C288">
        <v>10</v>
      </c>
      <c r="D288" s="29" t="s">
        <v>46</v>
      </c>
      <c r="E288" s="29" t="s">
        <v>47</v>
      </c>
    </row>
    <row r="289" spans="1:5" x14ac:dyDescent="0.3">
      <c r="A289" s="2">
        <v>45945</v>
      </c>
      <c r="B289">
        <v>2025</v>
      </c>
      <c r="C289">
        <v>10</v>
      </c>
      <c r="D289" s="29" t="s">
        <v>46</v>
      </c>
      <c r="E289" s="29" t="s">
        <v>47</v>
      </c>
    </row>
    <row r="290" spans="1:5" x14ac:dyDescent="0.3">
      <c r="A290" s="2">
        <v>45946</v>
      </c>
      <c r="B290">
        <v>2025</v>
      </c>
      <c r="C290">
        <v>10</v>
      </c>
      <c r="D290" s="29" t="s">
        <v>46</v>
      </c>
      <c r="E290" s="29" t="s">
        <v>47</v>
      </c>
    </row>
    <row r="291" spans="1:5" x14ac:dyDescent="0.3">
      <c r="A291" s="2">
        <v>45947</v>
      </c>
      <c r="B291">
        <v>2025</v>
      </c>
      <c r="C291">
        <v>10</v>
      </c>
      <c r="D291" s="29" t="s">
        <v>46</v>
      </c>
      <c r="E291" s="29" t="s">
        <v>47</v>
      </c>
    </row>
    <row r="292" spans="1:5" x14ac:dyDescent="0.3">
      <c r="A292" s="2">
        <v>45948</v>
      </c>
      <c r="B292">
        <v>2025</v>
      </c>
      <c r="C292">
        <v>10</v>
      </c>
      <c r="D292" s="29" t="s">
        <v>46</v>
      </c>
      <c r="E292" s="29" t="s">
        <v>47</v>
      </c>
    </row>
    <row r="293" spans="1:5" x14ac:dyDescent="0.3">
      <c r="A293" s="2">
        <v>45949</v>
      </c>
      <c r="B293">
        <v>2025</v>
      </c>
      <c r="C293">
        <v>10</v>
      </c>
      <c r="D293" s="29" t="s">
        <v>46</v>
      </c>
      <c r="E293" s="29" t="s">
        <v>47</v>
      </c>
    </row>
    <row r="294" spans="1:5" x14ac:dyDescent="0.3">
      <c r="A294" s="2">
        <v>45950</v>
      </c>
      <c r="B294">
        <v>2025</v>
      </c>
      <c r="C294">
        <v>10</v>
      </c>
      <c r="D294" s="29" t="s">
        <v>46</v>
      </c>
      <c r="E294" s="29" t="s">
        <v>47</v>
      </c>
    </row>
    <row r="295" spans="1:5" x14ac:dyDescent="0.3">
      <c r="A295" s="2">
        <v>45951</v>
      </c>
      <c r="B295">
        <v>2025</v>
      </c>
      <c r="C295">
        <v>10</v>
      </c>
      <c r="D295" s="29" t="s">
        <v>46</v>
      </c>
      <c r="E295" s="29" t="s">
        <v>47</v>
      </c>
    </row>
    <row r="296" spans="1:5" x14ac:dyDescent="0.3">
      <c r="A296" s="2">
        <v>45952</v>
      </c>
      <c r="B296">
        <v>2025</v>
      </c>
      <c r="C296">
        <v>10</v>
      </c>
      <c r="D296" s="29" t="s">
        <v>46</v>
      </c>
      <c r="E296" s="29" t="s">
        <v>47</v>
      </c>
    </row>
    <row r="297" spans="1:5" x14ac:dyDescent="0.3">
      <c r="A297" s="2">
        <v>45953</v>
      </c>
      <c r="B297">
        <v>2025</v>
      </c>
      <c r="C297">
        <v>10</v>
      </c>
      <c r="D297" s="29" t="s">
        <v>46</v>
      </c>
      <c r="E297" s="29" t="s">
        <v>47</v>
      </c>
    </row>
    <row r="298" spans="1:5" x14ac:dyDescent="0.3">
      <c r="A298" s="2">
        <v>45954</v>
      </c>
      <c r="B298">
        <v>2025</v>
      </c>
      <c r="C298">
        <v>10</v>
      </c>
      <c r="D298" s="29" t="s">
        <v>46</v>
      </c>
      <c r="E298" s="29" t="s">
        <v>47</v>
      </c>
    </row>
    <row r="299" spans="1:5" x14ac:dyDescent="0.3">
      <c r="A299" s="2">
        <v>45955</v>
      </c>
      <c r="B299">
        <v>2025</v>
      </c>
      <c r="C299">
        <v>10</v>
      </c>
      <c r="D299" s="29" t="s">
        <v>46</v>
      </c>
      <c r="E299" s="29" t="s">
        <v>47</v>
      </c>
    </row>
    <row r="300" spans="1:5" x14ac:dyDescent="0.3">
      <c r="A300" s="2">
        <v>45956</v>
      </c>
      <c r="B300">
        <v>2025</v>
      </c>
      <c r="C300">
        <v>10</v>
      </c>
      <c r="D300" s="29" t="s">
        <v>46</v>
      </c>
      <c r="E300" s="29" t="s">
        <v>47</v>
      </c>
    </row>
    <row r="301" spans="1:5" x14ac:dyDescent="0.3">
      <c r="A301" s="2">
        <v>45957</v>
      </c>
      <c r="B301">
        <v>2025</v>
      </c>
      <c r="C301">
        <v>10</v>
      </c>
      <c r="D301" s="29" t="s">
        <v>46</v>
      </c>
      <c r="E301" s="29" t="s">
        <v>47</v>
      </c>
    </row>
    <row r="302" spans="1:5" x14ac:dyDescent="0.3">
      <c r="A302" s="2">
        <v>45958</v>
      </c>
      <c r="B302">
        <v>2025</v>
      </c>
      <c r="C302">
        <v>10</v>
      </c>
      <c r="D302" s="29" t="s">
        <v>46</v>
      </c>
      <c r="E302" s="29" t="s">
        <v>47</v>
      </c>
    </row>
    <row r="303" spans="1:5" x14ac:dyDescent="0.3">
      <c r="A303" s="2">
        <v>45959</v>
      </c>
      <c r="B303">
        <v>2025</v>
      </c>
      <c r="C303">
        <v>10</v>
      </c>
      <c r="D303" s="29" t="s">
        <v>46</v>
      </c>
      <c r="E303" s="29" t="s">
        <v>47</v>
      </c>
    </row>
    <row r="304" spans="1:5" x14ac:dyDescent="0.3">
      <c r="A304" s="2">
        <v>45960</v>
      </c>
      <c r="B304">
        <v>2025</v>
      </c>
      <c r="C304">
        <v>10</v>
      </c>
      <c r="D304" s="29" t="s">
        <v>46</v>
      </c>
      <c r="E304" s="29" t="s">
        <v>47</v>
      </c>
    </row>
    <row r="305" spans="1:5" x14ac:dyDescent="0.3">
      <c r="A305" s="2">
        <v>45961</v>
      </c>
      <c r="B305">
        <v>2025</v>
      </c>
      <c r="C305">
        <v>10</v>
      </c>
      <c r="D305" s="29" t="s">
        <v>46</v>
      </c>
      <c r="E305" s="29" t="s">
        <v>47</v>
      </c>
    </row>
    <row r="306" spans="1:5" x14ac:dyDescent="0.3">
      <c r="A306" s="2">
        <v>45962</v>
      </c>
      <c r="B306">
        <v>2025</v>
      </c>
      <c r="C306">
        <v>11</v>
      </c>
      <c r="D306" s="29" t="s">
        <v>48</v>
      </c>
      <c r="E306" s="29" t="s">
        <v>47</v>
      </c>
    </row>
    <row r="307" spans="1:5" x14ac:dyDescent="0.3">
      <c r="A307" s="2">
        <v>45963</v>
      </c>
      <c r="B307">
        <v>2025</v>
      </c>
      <c r="C307">
        <v>11</v>
      </c>
      <c r="D307" s="29" t="s">
        <v>48</v>
      </c>
      <c r="E307" s="29" t="s">
        <v>47</v>
      </c>
    </row>
    <row r="308" spans="1:5" x14ac:dyDescent="0.3">
      <c r="A308" s="2">
        <v>45964</v>
      </c>
      <c r="B308">
        <v>2025</v>
      </c>
      <c r="C308">
        <v>11</v>
      </c>
      <c r="D308" s="29" t="s">
        <v>48</v>
      </c>
      <c r="E308" s="29" t="s">
        <v>47</v>
      </c>
    </row>
    <row r="309" spans="1:5" x14ac:dyDescent="0.3">
      <c r="A309" s="2">
        <v>45965</v>
      </c>
      <c r="B309">
        <v>2025</v>
      </c>
      <c r="C309">
        <v>11</v>
      </c>
      <c r="D309" s="29" t="s">
        <v>48</v>
      </c>
      <c r="E309" s="29" t="s">
        <v>47</v>
      </c>
    </row>
    <row r="310" spans="1:5" x14ac:dyDescent="0.3">
      <c r="A310" s="2">
        <v>45966</v>
      </c>
      <c r="B310">
        <v>2025</v>
      </c>
      <c r="C310">
        <v>11</v>
      </c>
      <c r="D310" s="29" t="s">
        <v>48</v>
      </c>
      <c r="E310" s="29" t="s">
        <v>47</v>
      </c>
    </row>
    <row r="311" spans="1:5" x14ac:dyDescent="0.3">
      <c r="A311" s="2">
        <v>45967</v>
      </c>
      <c r="B311">
        <v>2025</v>
      </c>
      <c r="C311">
        <v>11</v>
      </c>
      <c r="D311" s="29" t="s">
        <v>48</v>
      </c>
      <c r="E311" s="29" t="s">
        <v>47</v>
      </c>
    </row>
    <row r="312" spans="1:5" x14ac:dyDescent="0.3">
      <c r="A312" s="2">
        <v>45968</v>
      </c>
      <c r="B312">
        <v>2025</v>
      </c>
      <c r="C312">
        <v>11</v>
      </c>
      <c r="D312" s="29" t="s">
        <v>48</v>
      </c>
      <c r="E312" s="29" t="s">
        <v>47</v>
      </c>
    </row>
    <row r="313" spans="1:5" x14ac:dyDescent="0.3">
      <c r="A313" s="2">
        <v>45969</v>
      </c>
      <c r="B313">
        <v>2025</v>
      </c>
      <c r="C313">
        <v>11</v>
      </c>
      <c r="D313" s="29" t="s">
        <v>48</v>
      </c>
      <c r="E313" s="29" t="s">
        <v>47</v>
      </c>
    </row>
    <row r="314" spans="1:5" x14ac:dyDescent="0.3">
      <c r="A314" s="2">
        <v>45970</v>
      </c>
      <c r="B314">
        <v>2025</v>
      </c>
      <c r="C314">
        <v>11</v>
      </c>
      <c r="D314" s="29" t="s">
        <v>48</v>
      </c>
      <c r="E314" s="29" t="s">
        <v>47</v>
      </c>
    </row>
    <row r="315" spans="1:5" x14ac:dyDescent="0.3">
      <c r="A315" s="2">
        <v>45971</v>
      </c>
      <c r="B315">
        <v>2025</v>
      </c>
      <c r="C315">
        <v>11</v>
      </c>
      <c r="D315" s="29" t="s">
        <v>48</v>
      </c>
      <c r="E315" s="29" t="s">
        <v>47</v>
      </c>
    </row>
    <row r="316" spans="1:5" x14ac:dyDescent="0.3">
      <c r="A316" s="2">
        <v>45972</v>
      </c>
      <c r="B316">
        <v>2025</v>
      </c>
      <c r="C316">
        <v>11</v>
      </c>
      <c r="D316" s="29" t="s">
        <v>48</v>
      </c>
      <c r="E316" s="29" t="s">
        <v>47</v>
      </c>
    </row>
    <row r="317" spans="1:5" x14ac:dyDescent="0.3">
      <c r="A317" s="2">
        <v>45973</v>
      </c>
      <c r="B317">
        <v>2025</v>
      </c>
      <c r="C317">
        <v>11</v>
      </c>
      <c r="D317" s="29" t="s">
        <v>48</v>
      </c>
      <c r="E317" s="29" t="s">
        <v>47</v>
      </c>
    </row>
    <row r="318" spans="1:5" x14ac:dyDescent="0.3">
      <c r="A318" s="2">
        <v>45974</v>
      </c>
      <c r="B318">
        <v>2025</v>
      </c>
      <c r="C318">
        <v>11</v>
      </c>
      <c r="D318" s="29" t="s">
        <v>48</v>
      </c>
      <c r="E318" s="29" t="s">
        <v>47</v>
      </c>
    </row>
    <row r="319" spans="1:5" x14ac:dyDescent="0.3">
      <c r="A319" s="2">
        <v>45975</v>
      </c>
      <c r="B319">
        <v>2025</v>
      </c>
      <c r="C319">
        <v>11</v>
      </c>
      <c r="D319" s="29" t="s">
        <v>48</v>
      </c>
      <c r="E319" s="29" t="s">
        <v>47</v>
      </c>
    </row>
    <row r="320" spans="1:5" x14ac:dyDescent="0.3">
      <c r="A320" s="2">
        <v>45976</v>
      </c>
      <c r="B320">
        <v>2025</v>
      </c>
      <c r="C320">
        <v>11</v>
      </c>
      <c r="D320" s="29" t="s">
        <v>48</v>
      </c>
      <c r="E320" s="29" t="s">
        <v>47</v>
      </c>
    </row>
    <row r="321" spans="1:5" x14ac:dyDescent="0.3">
      <c r="A321" s="2">
        <v>45977</v>
      </c>
      <c r="B321">
        <v>2025</v>
      </c>
      <c r="C321">
        <v>11</v>
      </c>
      <c r="D321" s="29" t="s">
        <v>48</v>
      </c>
      <c r="E321" s="29" t="s">
        <v>47</v>
      </c>
    </row>
    <row r="322" spans="1:5" x14ac:dyDescent="0.3">
      <c r="A322" s="2">
        <v>45978</v>
      </c>
      <c r="B322">
        <v>2025</v>
      </c>
      <c r="C322">
        <v>11</v>
      </c>
      <c r="D322" s="29" t="s">
        <v>48</v>
      </c>
      <c r="E322" s="29" t="s">
        <v>47</v>
      </c>
    </row>
    <row r="323" spans="1:5" x14ac:dyDescent="0.3">
      <c r="A323" s="2">
        <v>45979</v>
      </c>
      <c r="B323">
        <v>2025</v>
      </c>
      <c r="C323">
        <v>11</v>
      </c>
      <c r="D323" s="29" t="s">
        <v>48</v>
      </c>
      <c r="E323" s="29" t="s">
        <v>47</v>
      </c>
    </row>
    <row r="324" spans="1:5" x14ac:dyDescent="0.3">
      <c r="A324" s="2">
        <v>45980</v>
      </c>
      <c r="B324">
        <v>2025</v>
      </c>
      <c r="C324">
        <v>11</v>
      </c>
      <c r="D324" s="29" t="s">
        <v>48</v>
      </c>
      <c r="E324" s="29" t="s">
        <v>47</v>
      </c>
    </row>
    <row r="325" spans="1:5" x14ac:dyDescent="0.3">
      <c r="A325" s="2">
        <v>45981</v>
      </c>
      <c r="B325">
        <v>2025</v>
      </c>
      <c r="C325">
        <v>11</v>
      </c>
      <c r="D325" s="29" t="s">
        <v>48</v>
      </c>
      <c r="E325" s="29" t="s">
        <v>47</v>
      </c>
    </row>
    <row r="326" spans="1:5" x14ac:dyDescent="0.3">
      <c r="A326" s="2">
        <v>45982</v>
      </c>
      <c r="B326">
        <v>2025</v>
      </c>
      <c r="C326">
        <v>11</v>
      </c>
      <c r="D326" s="29" t="s">
        <v>48</v>
      </c>
      <c r="E326" s="29" t="s">
        <v>47</v>
      </c>
    </row>
    <row r="327" spans="1:5" x14ac:dyDescent="0.3">
      <c r="A327" s="2">
        <v>45983</v>
      </c>
      <c r="B327">
        <v>2025</v>
      </c>
      <c r="C327">
        <v>11</v>
      </c>
      <c r="D327" s="29" t="s">
        <v>48</v>
      </c>
      <c r="E327" s="29" t="s">
        <v>47</v>
      </c>
    </row>
    <row r="328" spans="1:5" x14ac:dyDescent="0.3">
      <c r="A328" s="2">
        <v>45984</v>
      </c>
      <c r="B328">
        <v>2025</v>
      </c>
      <c r="C328">
        <v>11</v>
      </c>
      <c r="D328" s="29" t="s">
        <v>48</v>
      </c>
      <c r="E328" s="29" t="s">
        <v>47</v>
      </c>
    </row>
    <row r="329" spans="1:5" x14ac:dyDescent="0.3">
      <c r="A329" s="2">
        <v>45985</v>
      </c>
      <c r="B329">
        <v>2025</v>
      </c>
      <c r="C329">
        <v>11</v>
      </c>
      <c r="D329" s="29" t="s">
        <v>48</v>
      </c>
      <c r="E329" s="29" t="s">
        <v>47</v>
      </c>
    </row>
    <row r="330" spans="1:5" x14ac:dyDescent="0.3">
      <c r="A330" s="2">
        <v>45986</v>
      </c>
      <c r="B330">
        <v>2025</v>
      </c>
      <c r="C330">
        <v>11</v>
      </c>
      <c r="D330" s="29" t="s">
        <v>48</v>
      </c>
      <c r="E330" s="29" t="s">
        <v>47</v>
      </c>
    </row>
    <row r="331" spans="1:5" x14ac:dyDescent="0.3">
      <c r="A331" s="2">
        <v>45987</v>
      </c>
      <c r="B331">
        <v>2025</v>
      </c>
      <c r="C331">
        <v>11</v>
      </c>
      <c r="D331" s="29" t="s">
        <v>48</v>
      </c>
      <c r="E331" s="29" t="s">
        <v>47</v>
      </c>
    </row>
    <row r="332" spans="1:5" x14ac:dyDescent="0.3">
      <c r="A332" s="2">
        <v>45988</v>
      </c>
      <c r="B332">
        <v>2025</v>
      </c>
      <c r="C332">
        <v>11</v>
      </c>
      <c r="D332" s="29" t="s">
        <v>48</v>
      </c>
      <c r="E332" s="29" t="s">
        <v>47</v>
      </c>
    </row>
    <row r="333" spans="1:5" x14ac:dyDescent="0.3">
      <c r="A333" s="2">
        <v>45989</v>
      </c>
      <c r="B333">
        <v>2025</v>
      </c>
      <c r="C333">
        <v>11</v>
      </c>
      <c r="D333" s="29" t="s">
        <v>48</v>
      </c>
      <c r="E333" s="29" t="s">
        <v>47</v>
      </c>
    </row>
    <row r="334" spans="1:5" x14ac:dyDescent="0.3">
      <c r="A334" s="2">
        <v>45990</v>
      </c>
      <c r="B334">
        <v>2025</v>
      </c>
      <c r="C334">
        <v>11</v>
      </c>
      <c r="D334" s="29" t="s">
        <v>48</v>
      </c>
      <c r="E334" s="29" t="s">
        <v>47</v>
      </c>
    </row>
    <row r="335" spans="1:5" x14ac:dyDescent="0.3">
      <c r="A335" s="2">
        <v>45991</v>
      </c>
      <c r="B335">
        <v>2025</v>
      </c>
      <c r="C335">
        <v>11</v>
      </c>
      <c r="D335" s="29" t="s">
        <v>48</v>
      </c>
      <c r="E335" s="29" t="s">
        <v>47</v>
      </c>
    </row>
    <row r="336" spans="1:5" x14ac:dyDescent="0.3">
      <c r="A336" s="2">
        <v>45992</v>
      </c>
      <c r="B336">
        <v>2025</v>
      </c>
      <c r="C336">
        <v>12</v>
      </c>
      <c r="D336" s="29" t="s">
        <v>49</v>
      </c>
      <c r="E336" s="29" t="s">
        <v>47</v>
      </c>
    </row>
    <row r="337" spans="1:5" x14ac:dyDescent="0.3">
      <c r="A337" s="2">
        <v>45993</v>
      </c>
      <c r="B337">
        <v>2025</v>
      </c>
      <c r="C337">
        <v>12</v>
      </c>
      <c r="D337" s="29" t="s">
        <v>49</v>
      </c>
      <c r="E337" s="29" t="s">
        <v>47</v>
      </c>
    </row>
    <row r="338" spans="1:5" x14ac:dyDescent="0.3">
      <c r="A338" s="2">
        <v>45994</v>
      </c>
      <c r="B338">
        <v>2025</v>
      </c>
      <c r="C338">
        <v>12</v>
      </c>
      <c r="D338" s="29" t="s">
        <v>49</v>
      </c>
      <c r="E338" s="29" t="s">
        <v>47</v>
      </c>
    </row>
    <row r="339" spans="1:5" x14ac:dyDescent="0.3">
      <c r="A339" s="2">
        <v>45995</v>
      </c>
      <c r="B339">
        <v>2025</v>
      </c>
      <c r="C339">
        <v>12</v>
      </c>
      <c r="D339" s="29" t="s">
        <v>49</v>
      </c>
      <c r="E339" s="29" t="s">
        <v>47</v>
      </c>
    </row>
    <row r="340" spans="1:5" x14ac:dyDescent="0.3">
      <c r="A340" s="2">
        <v>45996</v>
      </c>
      <c r="B340">
        <v>2025</v>
      </c>
      <c r="C340">
        <v>12</v>
      </c>
      <c r="D340" s="29" t="s">
        <v>49</v>
      </c>
      <c r="E340" s="29" t="s">
        <v>47</v>
      </c>
    </row>
    <row r="341" spans="1:5" x14ac:dyDescent="0.3">
      <c r="A341" s="2">
        <v>45997</v>
      </c>
      <c r="B341">
        <v>2025</v>
      </c>
      <c r="C341">
        <v>12</v>
      </c>
      <c r="D341" s="29" t="s">
        <v>49</v>
      </c>
      <c r="E341" s="29" t="s">
        <v>47</v>
      </c>
    </row>
    <row r="342" spans="1:5" x14ac:dyDescent="0.3">
      <c r="A342" s="2">
        <v>45998</v>
      </c>
      <c r="B342">
        <v>2025</v>
      </c>
      <c r="C342">
        <v>12</v>
      </c>
      <c r="D342" s="29" t="s">
        <v>49</v>
      </c>
      <c r="E342" s="29" t="s">
        <v>47</v>
      </c>
    </row>
    <row r="343" spans="1:5" x14ac:dyDescent="0.3">
      <c r="A343" s="2">
        <v>45999</v>
      </c>
      <c r="B343">
        <v>2025</v>
      </c>
      <c r="C343">
        <v>12</v>
      </c>
      <c r="D343" s="29" t="s">
        <v>49</v>
      </c>
      <c r="E343" s="29" t="s">
        <v>47</v>
      </c>
    </row>
    <row r="344" spans="1:5" x14ac:dyDescent="0.3">
      <c r="A344" s="2">
        <v>46000</v>
      </c>
      <c r="B344">
        <v>2025</v>
      </c>
      <c r="C344">
        <v>12</v>
      </c>
      <c r="D344" s="29" t="s">
        <v>49</v>
      </c>
      <c r="E344" s="29" t="s">
        <v>47</v>
      </c>
    </row>
    <row r="345" spans="1:5" x14ac:dyDescent="0.3">
      <c r="A345" s="2">
        <v>46001</v>
      </c>
      <c r="B345">
        <v>2025</v>
      </c>
      <c r="C345">
        <v>12</v>
      </c>
      <c r="D345" s="29" t="s">
        <v>49</v>
      </c>
      <c r="E345" s="29" t="s">
        <v>47</v>
      </c>
    </row>
    <row r="346" spans="1:5" x14ac:dyDescent="0.3">
      <c r="A346" s="2">
        <v>46002</v>
      </c>
      <c r="B346">
        <v>2025</v>
      </c>
      <c r="C346">
        <v>12</v>
      </c>
      <c r="D346" s="29" t="s">
        <v>49</v>
      </c>
      <c r="E346" s="29" t="s">
        <v>47</v>
      </c>
    </row>
    <row r="347" spans="1:5" x14ac:dyDescent="0.3">
      <c r="A347" s="2">
        <v>46003</v>
      </c>
      <c r="B347">
        <v>2025</v>
      </c>
      <c r="C347">
        <v>12</v>
      </c>
      <c r="D347" s="29" t="s">
        <v>49</v>
      </c>
      <c r="E347" s="29" t="s">
        <v>47</v>
      </c>
    </row>
    <row r="348" spans="1:5" x14ac:dyDescent="0.3">
      <c r="A348" s="2">
        <v>46004</v>
      </c>
      <c r="B348">
        <v>2025</v>
      </c>
      <c r="C348">
        <v>12</v>
      </c>
      <c r="D348" s="29" t="s">
        <v>49</v>
      </c>
      <c r="E348" s="29" t="s">
        <v>47</v>
      </c>
    </row>
    <row r="349" spans="1:5" x14ac:dyDescent="0.3">
      <c r="A349" s="2">
        <v>46005</v>
      </c>
      <c r="B349">
        <v>2025</v>
      </c>
      <c r="C349">
        <v>12</v>
      </c>
      <c r="D349" s="29" t="s">
        <v>49</v>
      </c>
      <c r="E349" s="29" t="s">
        <v>47</v>
      </c>
    </row>
    <row r="350" spans="1:5" x14ac:dyDescent="0.3">
      <c r="A350" s="2">
        <v>46006</v>
      </c>
      <c r="B350">
        <v>2025</v>
      </c>
      <c r="C350">
        <v>12</v>
      </c>
      <c r="D350" s="29" t="s">
        <v>49</v>
      </c>
      <c r="E350" s="29" t="s">
        <v>47</v>
      </c>
    </row>
    <row r="351" spans="1:5" x14ac:dyDescent="0.3">
      <c r="A351" s="2">
        <v>46007</v>
      </c>
      <c r="B351">
        <v>2025</v>
      </c>
      <c r="C351">
        <v>12</v>
      </c>
      <c r="D351" s="29" t="s">
        <v>49</v>
      </c>
      <c r="E351" s="29" t="s">
        <v>47</v>
      </c>
    </row>
    <row r="352" spans="1:5" x14ac:dyDescent="0.3">
      <c r="A352" s="2">
        <v>46008</v>
      </c>
      <c r="B352">
        <v>2025</v>
      </c>
      <c r="C352">
        <v>12</v>
      </c>
      <c r="D352" s="29" t="s">
        <v>49</v>
      </c>
      <c r="E352" s="29" t="s">
        <v>47</v>
      </c>
    </row>
    <row r="353" spans="1:5" x14ac:dyDescent="0.3">
      <c r="A353" s="2">
        <v>46009</v>
      </c>
      <c r="B353">
        <v>2025</v>
      </c>
      <c r="C353">
        <v>12</v>
      </c>
      <c r="D353" s="29" t="s">
        <v>49</v>
      </c>
      <c r="E353" s="29" t="s">
        <v>47</v>
      </c>
    </row>
    <row r="354" spans="1:5" x14ac:dyDescent="0.3">
      <c r="A354" s="2">
        <v>46010</v>
      </c>
      <c r="B354">
        <v>2025</v>
      </c>
      <c r="C354">
        <v>12</v>
      </c>
      <c r="D354" s="29" t="s">
        <v>49</v>
      </c>
      <c r="E354" s="29" t="s">
        <v>47</v>
      </c>
    </row>
    <row r="355" spans="1:5" x14ac:dyDescent="0.3">
      <c r="A355" s="2">
        <v>46011</v>
      </c>
      <c r="B355">
        <v>2025</v>
      </c>
      <c r="C355">
        <v>12</v>
      </c>
      <c r="D355" s="29" t="s">
        <v>49</v>
      </c>
      <c r="E355" s="29" t="s">
        <v>47</v>
      </c>
    </row>
    <row r="356" spans="1:5" x14ac:dyDescent="0.3">
      <c r="A356" s="2">
        <v>46012</v>
      </c>
      <c r="B356">
        <v>2025</v>
      </c>
      <c r="C356">
        <v>12</v>
      </c>
      <c r="D356" s="29" t="s">
        <v>49</v>
      </c>
      <c r="E356" s="29" t="s">
        <v>47</v>
      </c>
    </row>
    <row r="357" spans="1:5" x14ac:dyDescent="0.3">
      <c r="A357" s="2">
        <v>46013</v>
      </c>
      <c r="B357">
        <v>2025</v>
      </c>
      <c r="C357">
        <v>12</v>
      </c>
      <c r="D357" s="29" t="s">
        <v>49</v>
      </c>
      <c r="E357" s="29" t="s">
        <v>47</v>
      </c>
    </row>
    <row r="358" spans="1:5" x14ac:dyDescent="0.3">
      <c r="A358" s="2">
        <v>46014</v>
      </c>
      <c r="B358">
        <v>2025</v>
      </c>
      <c r="C358">
        <v>12</v>
      </c>
      <c r="D358" s="29" t="s">
        <v>49</v>
      </c>
      <c r="E358" s="29" t="s">
        <v>47</v>
      </c>
    </row>
    <row r="359" spans="1:5" x14ac:dyDescent="0.3">
      <c r="A359" s="2">
        <v>46015</v>
      </c>
      <c r="B359">
        <v>2025</v>
      </c>
      <c r="C359">
        <v>12</v>
      </c>
      <c r="D359" s="29" t="s">
        <v>49</v>
      </c>
      <c r="E359" s="29" t="s">
        <v>47</v>
      </c>
    </row>
    <row r="360" spans="1:5" x14ac:dyDescent="0.3">
      <c r="A360" s="2">
        <v>46016</v>
      </c>
      <c r="B360">
        <v>2025</v>
      </c>
      <c r="C360">
        <v>12</v>
      </c>
      <c r="D360" s="29" t="s">
        <v>49</v>
      </c>
      <c r="E360" s="29" t="s">
        <v>47</v>
      </c>
    </row>
    <row r="361" spans="1:5" x14ac:dyDescent="0.3">
      <c r="A361" s="2">
        <v>46017</v>
      </c>
      <c r="B361">
        <v>2025</v>
      </c>
      <c r="C361">
        <v>12</v>
      </c>
      <c r="D361" s="29" t="s">
        <v>49</v>
      </c>
      <c r="E361" s="29" t="s">
        <v>47</v>
      </c>
    </row>
    <row r="362" spans="1:5" x14ac:dyDescent="0.3">
      <c r="A362" s="2">
        <v>46018</v>
      </c>
      <c r="B362">
        <v>2025</v>
      </c>
      <c r="C362">
        <v>12</v>
      </c>
      <c r="D362" s="29" t="s">
        <v>49</v>
      </c>
      <c r="E362" s="29" t="s">
        <v>47</v>
      </c>
    </row>
    <row r="363" spans="1:5" x14ac:dyDescent="0.3">
      <c r="A363" s="2">
        <v>46019</v>
      </c>
      <c r="B363">
        <v>2025</v>
      </c>
      <c r="C363">
        <v>12</v>
      </c>
      <c r="D363" s="29" t="s">
        <v>49</v>
      </c>
      <c r="E363" s="29" t="s">
        <v>47</v>
      </c>
    </row>
    <row r="364" spans="1:5" x14ac:dyDescent="0.3">
      <c r="A364" s="2">
        <v>46020</v>
      </c>
      <c r="B364">
        <v>2025</v>
      </c>
      <c r="C364">
        <v>12</v>
      </c>
      <c r="D364" s="29" t="s">
        <v>49</v>
      </c>
      <c r="E364" s="29" t="s">
        <v>47</v>
      </c>
    </row>
    <row r="365" spans="1:5" x14ac:dyDescent="0.3">
      <c r="A365" s="2">
        <v>46021</v>
      </c>
      <c r="B365">
        <v>2025</v>
      </c>
      <c r="C365">
        <v>12</v>
      </c>
      <c r="D365" s="29" t="s">
        <v>49</v>
      </c>
      <c r="E365" s="29" t="s">
        <v>47</v>
      </c>
    </row>
    <row r="366" spans="1:5" x14ac:dyDescent="0.3">
      <c r="A366" s="2">
        <v>46022</v>
      </c>
      <c r="B366">
        <v>2025</v>
      </c>
      <c r="C366">
        <v>12</v>
      </c>
      <c r="D366" s="29" t="s">
        <v>49</v>
      </c>
      <c r="E366" s="29" t="s">
        <v>47</v>
      </c>
    </row>
    <row r="367" spans="1:5" x14ac:dyDescent="0.3">
      <c r="A367" s="2">
        <v>46023</v>
      </c>
      <c r="B367">
        <v>2026</v>
      </c>
      <c r="C367">
        <v>1</v>
      </c>
      <c r="D367" s="29" t="s">
        <v>34</v>
      </c>
      <c r="E367" s="29" t="s">
        <v>35</v>
      </c>
    </row>
    <row r="368" spans="1:5" x14ac:dyDescent="0.3">
      <c r="A368" s="2">
        <v>46024</v>
      </c>
      <c r="B368">
        <v>2026</v>
      </c>
      <c r="C368">
        <v>1</v>
      </c>
      <c r="D368" s="29" t="s">
        <v>34</v>
      </c>
      <c r="E368" s="29" t="s">
        <v>35</v>
      </c>
    </row>
    <row r="369" spans="1:5" x14ac:dyDescent="0.3">
      <c r="A369" s="2">
        <v>46025</v>
      </c>
      <c r="B369">
        <v>2026</v>
      </c>
      <c r="C369">
        <v>1</v>
      </c>
      <c r="D369" s="29" t="s">
        <v>34</v>
      </c>
      <c r="E369" s="29" t="s">
        <v>35</v>
      </c>
    </row>
    <row r="370" spans="1:5" x14ac:dyDescent="0.3">
      <c r="A370" s="2">
        <v>46026</v>
      </c>
      <c r="B370">
        <v>2026</v>
      </c>
      <c r="C370">
        <v>1</v>
      </c>
      <c r="D370" s="29" t="s">
        <v>34</v>
      </c>
      <c r="E370" s="29" t="s">
        <v>35</v>
      </c>
    </row>
    <row r="371" spans="1:5" x14ac:dyDescent="0.3">
      <c r="A371" s="2">
        <v>46027</v>
      </c>
      <c r="B371">
        <v>2026</v>
      </c>
      <c r="C371">
        <v>1</v>
      </c>
      <c r="D371" s="29" t="s">
        <v>34</v>
      </c>
      <c r="E371" s="29" t="s">
        <v>35</v>
      </c>
    </row>
    <row r="372" spans="1:5" x14ac:dyDescent="0.3">
      <c r="A372" s="2">
        <v>46028</v>
      </c>
      <c r="B372">
        <v>2026</v>
      </c>
      <c r="C372">
        <v>1</v>
      </c>
      <c r="D372" s="29" t="s">
        <v>34</v>
      </c>
      <c r="E372" s="29" t="s">
        <v>35</v>
      </c>
    </row>
    <row r="373" spans="1:5" x14ac:dyDescent="0.3">
      <c r="A373" s="2">
        <v>46029</v>
      </c>
      <c r="B373">
        <v>2026</v>
      </c>
      <c r="C373">
        <v>1</v>
      </c>
      <c r="D373" s="29" t="s">
        <v>34</v>
      </c>
      <c r="E373" s="29" t="s">
        <v>35</v>
      </c>
    </row>
    <row r="374" spans="1:5" x14ac:dyDescent="0.3">
      <c r="A374" s="2">
        <v>46030</v>
      </c>
      <c r="B374">
        <v>2026</v>
      </c>
      <c r="C374">
        <v>1</v>
      </c>
      <c r="D374" s="29" t="s">
        <v>34</v>
      </c>
      <c r="E374" s="29" t="s">
        <v>35</v>
      </c>
    </row>
    <row r="375" spans="1:5" x14ac:dyDescent="0.3">
      <c r="A375" s="2">
        <v>46031</v>
      </c>
      <c r="B375">
        <v>2026</v>
      </c>
      <c r="C375">
        <v>1</v>
      </c>
      <c r="D375" s="29" t="s">
        <v>34</v>
      </c>
      <c r="E375" s="29" t="s">
        <v>35</v>
      </c>
    </row>
    <row r="376" spans="1:5" x14ac:dyDescent="0.3">
      <c r="A376" s="2">
        <v>46032</v>
      </c>
      <c r="B376">
        <v>2026</v>
      </c>
      <c r="C376">
        <v>1</v>
      </c>
      <c r="D376" s="29" t="s">
        <v>34</v>
      </c>
      <c r="E376" s="29" t="s">
        <v>35</v>
      </c>
    </row>
    <row r="377" spans="1:5" x14ac:dyDescent="0.3">
      <c r="A377" s="2">
        <v>46033</v>
      </c>
      <c r="B377">
        <v>2026</v>
      </c>
      <c r="C377">
        <v>1</v>
      </c>
      <c r="D377" s="29" t="s">
        <v>34</v>
      </c>
      <c r="E377" s="29" t="s">
        <v>35</v>
      </c>
    </row>
    <row r="378" spans="1:5" x14ac:dyDescent="0.3">
      <c r="A378" s="2">
        <v>46034</v>
      </c>
      <c r="B378">
        <v>2026</v>
      </c>
      <c r="C378">
        <v>1</v>
      </c>
      <c r="D378" s="29" t="s">
        <v>34</v>
      </c>
      <c r="E378" s="29" t="s">
        <v>35</v>
      </c>
    </row>
    <row r="379" spans="1:5" x14ac:dyDescent="0.3">
      <c r="A379" s="2">
        <v>46035</v>
      </c>
      <c r="B379">
        <v>2026</v>
      </c>
      <c r="C379">
        <v>1</v>
      </c>
      <c r="D379" s="29" t="s">
        <v>34</v>
      </c>
      <c r="E379" s="29" t="s">
        <v>35</v>
      </c>
    </row>
    <row r="380" spans="1:5" x14ac:dyDescent="0.3">
      <c r="A380" s="2">
        <v>46036</v>
      </c>
      <c r="B380">
        <v>2026</v>
      </c>
      <c r="C380">
        <v>1</v>
      </c>
      <c r="D380" s="29" t="s">
        <v>34</v>
      </c>
      <c r="E380" s="29" t="s">
        <v>35</v>
      </c>
    </row>
    <row r="381" spans="1:5" x14ac:dyDescent="0.3">
      <c r="A381" s="2">
        <v>46037</v>
      </c>
      <c r="B381">
        <v>2026</v>
      </c>
      <c r="C381">
        <v>1</v>
      </c>
      <c r="D381" s="29" t="s">
        <v>34</v>
      </c>
      <c r="E381" s="29" t="s">
        <v>35</v>
      </c>
    </row>
    <row r="382" spans="1:5" x14ac:dyDescent="0.3">
      <c r="A382" s="2">
        <v>46038</v>
      </c>
      <c r="B382">
        <v>2026</v>
      </c>
      <c r="C382">
        <v>1</v>
      </c>
      <c r="D382" s="29" t="s">
        <v>34</v>
      </c>
      <c r="E382" s="29" t="s">
        <v>35</v>
      </c>
    </row>
    <row r="383" spans="1:5" x14ac:dyDescent="0.3">
      <c r="A383" s="2">
        <v>46039</v>
      </c>
      <c r="B383">
        <v>2026</v>
      </c>
      <c r="C383">
        <v>1</v>
      </c>
      <c r="D383" s="29" t="s">
        <v>34</v>
      </c>
      <c r="E383" s="29" t="s">
        <v>35</v>
      </c>
    </row>
    <row r="384" spans="1:5" x14ac:dyDescent="0.3">
      <c r="A384" s="2">
        <v>46040</v>
      </c>
      <c r="B384">
        <v>2026</v>
      </c>
      <c r="C384">
        <v>1</v>
      </c>
      <c r="D384" s="29" t="s">
        <v>34</v>
      </c>
      <c r="E384" s="29" t="s">
        <v>35</v>
      </c>
    </row>
    <row r="385" spans="1:5" x14ac:dyDescent="0.3">
      <c r="A385" s="2">
        <v>46041</v>
      </c>
      <c r="B385">
        <v>2026</v>
      </c>
      <c r="C385">
        <v>1</v>
      </c>
      <c r="D385" s="29" t="s">
        <v>34</v>
      </c>
      <c r="E385" s="29" t="s">
        <v>35</v>
      </c>
    </row>
    <row r="386" spans="1:5" x14ac:dyDescent="0.3">
      <c r="A386" s="2">
        <v>46042</v>
      </c>
      <c r="B386">
        <v>2026</v>
      </c>
      <c r="C386">
        <v>1</v>
      </c>
      <c r="D386" s="29" t="s">
        <v>34</v>
      </c>
      <c r="E386" s="29" t="s">
        <v>35</v>
      </c>
    </row>
    <row r="387" spans="1:5" x14ac:dyDescent="0.3">
      <c r="A387" s="2">
        <v>46043</v>
      </c>
      <c r="B387">
        <v>2026</v>
      </c>
      <c r="C387">
        <v>1</v>
      </c>
      <c r="D387" s="29" t="s">
        <v>34</v>
      </c>
      <c r="E387" s="29" t="s">
        <v>35</v>
      </c>
    </row>
    <row r="388" spans="1:5" x14ac:dyDescent="0.3">
      <c r="A388" s="2">
        <v>46044</v>
      </c>
      <c r="B388">
        <v>2026</v>
      </c>
      <c r="C388">
        <v>1</v>
      </c>
      <c r="D388" s="29" t="s">
        <v>34</v>
      </c>
      <c r="E388" s="29" t="s">
        <v>35</v>
      </c>
    </row>
    <row r="389" spans="1:5" x14ac:dyDescent="0.3">
      <c r="A389" s="2">
        <v>46045</v>
      </c>
      <c r="B389">
        <v>2026</v>
      </c>
      <c r="C389">
        <v>1</v>
      </c>
      <c r="D389" s="29" t="s">
        <v>34</v>
      </c>
      <c r="E389" s="29" t="s">
        <v>35</v>
      </c>
    </row>
    <row r="390" spans="1:5" x14ac:dyDescent="0.3">
      <c r="A390" s="2">
        <v>46046</v>
      </c>
      <c r="B390">
        <v>2026</v>
      </c>
      <c r="C390">
        <v>1</v>
      </c>
      <c r="D390" s="29" t="s">
        <v>34</v>
      </c>
      <c r="E390" s="29" t="s">
        <v>35</v>
      </c>
    </row>
    <row r="391" spans="1:5" x14ac:dyDescent="0.3">
      <c r="A391" s="2">
        <v>46047</v>
      </c>
      <c r="B391">
        <v>2026</v>
      </c>
      <c r="C391">
        <v>1</v>
      </c>
      <c r="D391" s="29" t="s">
        <v>34</v>
      </c>
      <c r="E391" s="29" t="s">
        <v>35</v>
      </c>
    </row>
    <row r="392" spans="1:5" x14ac:dyDescent="0.3">
      <c r="A392" s="2">
        <v>46048</v>
      </c>
      <c r="B392">
        <v>2026</v>
      </c>
      <c r="C392">
        <v>1</v>
      </c>
      <c r="D392" s="29" t="s">
        <v>34</v>
      </c>
      <c r="E392" s="29" t="s">
        <v>35</v>
      </c>
    </row>
    <row r="393" spans="1:5" x14ac:dyDescent="0.3">
      <c r="A393" s="2">
        <v>46049</v>
      </c>
      <c r="B393">
        <v>2026</v>
      </c>
      <c r="C393">
        <v>1</v>
      </c>
      <c r="D393" s="29" t="s">
        <v>34</v>
      </c>
      <c r="E393" s="29" t="s">
        <v>35</v>
      </c>
    </row>
    <row r="394" spans="1:5" x14ac:dyDescent="0.3">
      <c r="A394" s="2">
        <v>46050</v>
      </c>
      <c r="B394">
        <v>2026</v>
      </c>
      <c r="C394">
        <v>1</v>
      </c>
      <c r="D394" s="29" t="s">
        <v>34</v>
      </c>
      <c r="E394" s="29" t="s">
        <v>35</v>
      </c>
    </row>
    <row r="395" spans="1:5" x14ac:dyDescent="0.3">
      <c r="A395" s="2">
        <v>46051</v>
      </c>
      <c r="B395">
        <v>2026</v>
      </c>
      <c r="C395">
        <v>1</v>
      </c>
      <c r="D395" s="29" t="s">
        <v>34</v>
      </c>
      <c r="E395" s="29" t="s">
        <v>35</v>
      </c>
    </row>
    <row r="396" spans="1:5" x14ac:dyDescent="0.3">
      <c r="A396" s="2">
        <v>46052</v>
      </c>
      <c r="B396">
        <v>2026</v>
      </c>
      <c r="C396">
        <v>1</v>
      </c>
      <c r="D396" s="29" t="s">
        <v>34</v>
      </c>
      <c r="E396" s="29" t="s">
        <v>35</v>
      </c>
    </row>
    <row r="397" spans="1:5" x14ac:dyDescent="0.3">
      <c r="A397" s="2">
        <v>46053</v>
      </c>
      <c r="B397">
        <v>2026</v>
      </c>
      <c r="C397">
        <v>1</v>
      </c>
      <c r="D397" s="29" t="s">
        <v>34</v>
      </c>
      <c r="E397" s="29" t="s">
        <v>35</v>
      </c>
    </row>
    <row r="398" spans="1:5" x14ac:dyDescent="0.3">
      <c r="A398" s="2">
        <v>46054</v>
      </c>
      <c r="B398">
        <v>2026</v>
      </c>
      <c r="C398">
        <v>2</v>
      </c>
      <c r="D398" s="29" t="s">
        <v>36</v>
      </c>
      <c r="E398" s="29" t="s">
        <v>35</v>
      </c>
    </row>
    <row r="399" spans="1:5" x14ac:dyDescent="0.3">
      <c r="A399" s="2">
        <v>46055</v>
      </c>
      <c r="B399">
        <v>2026</v>
      </c>
      <c r="C399">
        <v>2</v>
      </c>
      <c r="D399" s="29" t="s">
        <v>36</v>
      </c>
      <c r="E399" s="29" t="s">
        <v>35</v>
      </c>
    </row>
    <row r="400" spans="1:5" x14ac:dyDescent="0.3">
      <c r="A400" s="2">
        <v>46056</v>
      </c>
      <c r="B400">
        <v>2026</v>
      </c>
      <c r="C400">
        <v>2</v>
      </c>
      <c r="D400" s="29" t="s">
        <v>36</v>
      </c>
      <c r="E400" s="29" t="s">
        <v>35</v>
      </c>
    </row>
    <row r="401" spans="1:5" x14ac:dyDescent="0.3">
      <c r="A401" s="2">
        <v>46057</v>
      </c>
      <c r="B401">
        <v>2026</v>
      </c>
      <c r="C401">
        <v>2</v>
      </c>
      <c r="D401" s="29" t="s">
        <v>36</v>
      </c>
      <c r="E401" s="29" t="s">
        <v>35</v>
      </c>
    </row>
    <row r="402" spans="1:5" x14ac:dyDescent="0.3">
      <c r="A402" s="2">
        <v>46058</v>
      </c>
      <c r="B402">
        <v>2026</v>
      </c>
      <c r="C402">
        <v>2</v>
      </c>
      <c r="D402" s="29" t="s">
        <v>36</v>
      </c>
      <c r="E402" s="29" t="s">
        <v>35</v>
      </c>
    </row>
    <row r="403" spans="1:5" x14ac:dyDescent="0.3">
      <c r="A403" s="2">
        <v>46059</v>
      </c>
      <c r="B403">
        <v>2026</v>
      </c>
      <c r="C403">
        <v>2</v>
      </c>
      <c r="D403" s="29" t="s">
        <v>36</v>
      </c>
      <c r="E403" s="29" t="s">
        <v>35</v>
      </c>
    </row>
    <row r="404" spans="1:5" x14ac:dyDescent="0.3">
      <c r="A404" s="2">
        <v>46060</v>
      </c>
      <c r="B404">
        <v>2026</v>
      </c>
      <c r="C404">
        <v>2</v>
      </c>
      <c r="D404" s="29" t="s">
        <v>36</v>
      </c>
      <c r="E404" s="29" t="s">
        <v>35</v>
      </c>
    </row>
    <row r="405" spans="1:5" x14ac:dyDescent="0.3">
      <c r="A405" s="2">
        <v>46061</v>
      </c>
      <c r="B405">
        <v>2026</v>
      </c>
      <c r="C405">
        <v>2</v>
      </c>
      <c r="D405" s="29" t="s">
        <v>36</v>
      </c>
      <c r="E405" s="29" t="s">
        <v>35</v>
      </c>
    </row>
    <row r="406" spans="1:5" x14ac:dyDescent="0.3">
      <c r="A406" s="2">
        <v>46062</v>
      </c>
      <c r="B406">
        <v>2026</v>
      </c>
      <c r="C406">
        <v>2</v>
      </c>
      <c r="D406" s="29" t="s">
        <v>36</v>
      </c>
      <c r="E406" s="29" t="s">
        <v>35</v>
      </c>
    </row>
    <row r="407" spans="1:5" x14ac:dyDescent="0.3">
      <c r="A407" s="2">
        <v>46063</v>
      </c>
      <c r="B407">
        <v>2026</v>
      </c>
      <c r="C407">
        <v>2</v>
      </c>
      <c r="D407" s="29" t="s">
        <v>36</v>
      </c>
      <c r="E407" s="29" t="s">
        <v>35</v>
      </c>
    </row>
    <row r="408" spans="1:5" x14ac:dyDescent="0.3">
      <c r="A408" s="2">
        <v>46064</v>
      </c>
      <c r="B408">
        <v>2026</v>
      </c>
      <c r="C408">
        <v>2</v>
      </c>
      <c r="D408" s="29" t="s">
        <v>36</v>
      </c>
      <c r="E408" s="29" t="s">
        <v>35</v>
      </c>
    </row>
    <row r="409" spans="1:5" x14ac:dyDescent="0.3">
      <c r="A409" s="2">
        <v>46065</v>
      </c>
      <c r="B409">
        <v>2026</v>
      </c>
      <c r="C409">
        <v>2</v>
      </c>
      <c r="D409" s="29" t="s">
        <v>36</v>
      </c>
      <c r="E409" s="29" t="s">
        <v>35</v>
      </c>
    </row>
    <row r="410" spans="1:5" x14ac:dyDescent="0.3">
      <c r="A410" s="2">
        <v>46066</v>
      </c>
      <c r="B410">
        <v>2026</v>
      </c>
      <c r="C410">
        <v>2</v>
      </c>
      <c r="D410" s="29" t="s">
        <v>36</v>
      </c>
      <c r="E410" s="29" t="s">
        <v>35</v>
      </c>
    </row>
    <row r="411" spans="1:5" x14ac:dyDescent="0.3">
      <c r="A411" s="2">
        <v>46067</v>
      </c>
      <c r="B411">
        <v>2026</v>
      </c>
      <c r="C411">
        <v>2</v>
      </c>
      <c r="D411" s="29" t="s">
        <v>36</v>
      </c>
      <c r="E411" s="29" t="s">
        <v>35</v>
      </c>
    </row>
    <row r="412" spans="1:5" x14ac:dyDescent="0.3">
      <c r="A412" s="2">
        <v>46068</v>
      </c>
      <c r="B412">
        <v>2026</v>
      </c>
      <c r="C412">
        <v>2</v>
      </c>
      <c r="D412" s="29" t="s">
        <v>36</v>
      </c>
      <c r="E412" s="29" t="s">
        <v>35</v>
      </c>
    </row>
    <row r="413" spans="1:5" x14ac:dyDescent="0.3">
      <c r="A413" s="2">
        <v>46069</v>
      </c>
      <c r="B413">
        <v>2026</v>
      </c>
      <c r="C413">
        <v>2</v>
      </c>
      <c r="D413" s="29" t="s">
        <v>36</v>
      </c>
      <c r="E413" s="29" t="s">
        <v>35</v>
      </c>
    </row>
    <row r="414" spans="1:5" x14ac:dyDescent="0.3">
      <c r="A414" s="2">
        <v>46070</v>
      </c>
      <c r="B414">
        <v>2026</v>
      </c>
      <c r="C414">
        <v>2</v>
      </c>
      <c r="D414" s="29" t="s">
        <v>36</v>
      </c>
      <c r="E414" s="29" t="s">
        <v>35</v>
      </c>
    </row>
    <row r="415" spans="1:5" x14ac:dyDescent="0.3">
      <c r="A415" s="2">
        <v>46071</v>
      </c>
      <c r="B415">
        <v>2026</v>
      </c>
      <c r="C415">
        <v>2</v>
      </c>
      <c r="D415" s="29" t="s">
        <v>36</v>
      </c>
      <c r="E415" s="29" t="s">
        <v>35</v>
      </c>
    </row>
    <row r="416" spans="1:5" x14ac:dyDescent="0.3">
      <c r="A416" s="2">
        <v>46072</v>
      </c>
      <c r="B416">
        <v>2026</v>
      </c>
      <c r="C416">
        <v>2</v>
      </c>
      <c r="D416" s="29" t="s">
        <v>36</v>
      </c>
      <c r="E416" s="29" t="s">
        <v>35</v>
      </c>
    </row>
    <row r="417" spans="1:5" x14ac:dyDescent="0.3">
      <c r="A417" s="2">
        <v>46073</v>
      </c>
      <c r="B417">
        <v>2026</v>
      </c>
      <c r="C417">
        <v>2</v>
      </c>
      <c r="D417" s="29" t="s">
        <v>36</v>
      </c>
      <c r="E417" s="29" t="s">
        <v>35</v>
      </c>
    </row>
    <row r="418" spans="1:5" x14ac:dyDescent="0.3">
      <c r="A418" s="2">
        <v>46074</v>
      </c>
      <c r="B418">
        <v>2026</v>
      </c>
      <c r="C418">
        <v>2</v>
      </c>
      <c r="D418" s="29" t="s">
        <v>36</v>
      </c>
      <c r="E418" s="29" t="s">
        <v>35</v>
      </c>
    </row>
    <row r="419" spans="1:5" x14ac:dyDescent="0.3">
      <c r="A419" s="2">
        <v>46075</v>
      </c>
      <c r="B419">
        <v>2026</v>
      </c>
      <c r="C419">
        <v>2</v>
      </c>
      <c r="D419" s="29" t="s">
        <v>36</v>
      </c>
      <c r="E419" s="29" t="s">
        <v>35</v>
      </c>
    </row>
    <row r="420" spans="1:5" x14ac:dyDescent="0.3">
      <c r="A420" s="2">
        <v>46076</v>
      </c>
      <c r="B420">
        <v>2026</v>
      </c>
      <c r="C420">
        <v>2</v>
      </c>
      <c r="D420" s="29" t="s">
        <v>36</v>
      </c>
      <c r="E420" s="29" t="s">
        <v>35</v>
      </c>
    </row>
    <row r="421" spans="1:5" x14ac:dyDescent="0.3">
      <c r="A421" s="2">
        <v>46077</v>
      </c>
      <c r="B421">
        <v>2026</v>
      </c>
      <c r="C421">
        <v>2</v>
      </c>
      <c r="D421" s="29" t="s">
        <v>36</v>
      </c>
      <c r="E421" s="29" t="s">
        <v>35</v>
      </c>
    </row>
    <row r="422" spans="1:5" x14ac:dyDescent="0.3">
      <c r="A422" s="2">
        <v>46078</v>
      </c>
      <c r="B422">
        <v>2026</v>
      </c>
      <c r="C422">
        <v>2</v>
      </c>
      <c r="D422" s="29" t="s">
        <v>36</v>
      </c>
      <c r="E422" s="29" t="s">
        <v>35</v>
      </c>
    </row>
    <row r="423" spans="1:5" x14ac:dyDescent="0.3">
      <c r="A423" s="2">
        <v>46079</v>
      </c>
      <c r="B423">
        <v>2026</v>
      </c>
      <c r="C423">
        <v>2</v>
      </c>
      <c r="D423" s="29" t="s">
        <v>36</v>
      </c>
      <c r="E423" s="29" t="s">
        <v>35</v>
      </c>
    </row>
    <row r="424" spans="1:5" x14ac:dyDescent="0.3">
      <c r="A424" s="2">
        <v>46080</v>
      </c>
      <c r="B424">
        <v>2026</v>
      </c>
      <c r="C424">
        <v>2</v>
      </c>
      <c r="D424" s="29" t="s">
        <v>36</v>
      </c>
      <c r="E424" s="29" t="s">
        <v>35</v>
      </c>
    </row>
    <row r="425" spans="1:5" x14ac:dyDescent="0.3">
      <c r="A425" s="2">
        <v>46081</v>
      </c>
      <c r="B425">
        <v>2026</v>
      </c>
      <c r="C425">
        <v>2</v>
      </c>
      <c r="D425" s="29" t="s">
        <v>36</v>
      </c>
      <c r="E425" s="29" t="s">
        <v>35</v>
      </c>
    </row>
    <row r="426" spans="1:5" x14ac:dyDescent="0.3">
      <c r="A426" s="2">
        <v>46082</v>
      </c>
      <c r="B426">
        <v>2026</v>
      </c>
      <c r="C426">
        <v>3</v>
      </c>
      <c r="D426" s="29" t="s">
        <v>37</v>
      </c>
      <c r="E426" s="29" t="s">
        <v>35</v>
      </c>
    </row>
    <row r="427" spans="1:5" x14ac:dyDescent="0.3">
      <c r="A427" s="2">
        <v>46083</v>
      </c>
      <c r="B427">
        <v>2026</v>
      </c>
      <c r="C427">
        <v>3</v>
      </c>
      <c r="D427" s="29" t="s">
        <v>37</v>
      </c>
      <c r="E427" s="29" t="s">
        <v>35</v>
      </c>
    </row>
    <row r="428" spans="1:5" x14ac:dyDescent="0.3">
      <c r="A428" s="2">
        <v>46084</v>
      </c>
      <c r="B428">
        <v>2026</v>
      </c>
      <c r="C428">
        <v>3</v>
      </c>
      <c r="D428" s="29" t="s">
        <v>37</v>
      </c>
      <c r="E428" s="29" t="s">
        <v>35</v>
      </c>
    </row>
    <row r="429" spans="1:5" x14ac:dyDescent="0.3">
      <c r="A429" s="2">
        <v>46085</v>
      </c>
      <c r="B429">
        <v>2026</v>
      </c>
      <c r="C429">
        <v>3</v>
      </c>
      <c r="D429" s="29" t="s">
        <v>37</v>
      </c>
      <c r="E429" s="29" t="s">
        <v>35</v>
      </c>
    </row>
    <row r="430" spans="1:5" x14ac:dyDescent="0.3">
      <c r="A430" s="2">
        <v>46086</v>
      </c>
      <c r="B430">
        <v>2026</v>
      </c>
      <c r="C430">
        <v>3</v>
      </c>
      <c r="D430" s="29" t="s">
        <v>37</v>
      </c>
      <c r="E430" s="29" t="s">
        <v>35</v>
      </c>
    </row>
    <row r="431" spans="1:5" x14ac:dyDescent="0.3">
      <c r="A431" s="2">
        <v>46087</v>
      </c>
      <c r="B431">
        <v>2026</v>
      </c>
      <c r="C431">
        <v>3</v>
      </c>
      <c r="D431" s="29" t="s">
        <v>37</v>
      </c>
      <c r="E431" s="29" t="s">
        <v>35</v>
      </c>
    </row>
    <row r="432" spans="1:5" x14ac:dyDescent="0.3">
      <c r="A432" s="2">
        <v>46088</v>
      </c>
      <c r="B432">
        <v>2026</v>
      </c>
      <c r="C432">
        <v>3</v>
      </c>
      <c r="D432" s="29" t="s">
        <v>37</v>
      </c>
      <c r="E432" s="29" t="s">
        <v>35</v>
      </c>
    </row>
    <row r="433" spans="1:5" x14ac:dyDescent="0.3">
      <c r="A433" s="2">
        <v>46089</v>
      </c>
      <c r="B433">
        <v>2026</v>
      </c>
      <c r="C433">
        <v>3</v>
      </c>
      <c r="D433" s="29" t="s">
        <v>37</v>
      </c>
      <c r="E433" s="29" t="s">
        <v>35</v>
      </c>
    </row>
    <row r="434" spans="1:5" x14ac:dyDescent="0.3">
      <c r="A434" s="2">
        <v>46090</v>
      </c>
      <c r="B434">
        <v>2026</v>
      </c>
      <c r="C434">
        <v>3</v>
      </c>
      <c r="D434" s="29" t="s">
        <v>37</v>
      </c>
      <c r="E434" s="29" t="s">
        <v>35</v>
      </c>
    </row>
    <row r="435" spans="1:5" x14ac:dyDescent="0.3">
      <c r="A435" s="2">
        <v>46091</v>
      </c>
      <c r="B435">
        <v>2026</v>
      </c>
      <c r="C435">
        <v>3</v>
      </c>
      <c r="D435" s="29" t="s">
        <v>37</v>
      </c>
      <c r="E435" s="29" t="s">
        <v>35</v>
      </c>
    </row>
    <row r="436" spans="1:5" x14ac:dyDescent="0.3">
      <c r="A436" s="2">
        <v>46092</v>
      </c>
      <c r="B436">
        <v>2026</v>
      </c>
      <c r="C436">
        <v>3</v>
      </c>
      <c r="D436" s="29" t="s">
        <v>37</v>
      </c>
      <c r="E436" s="29" t="s">
        <v>35</v>
      </c>
    </row>
    <row r="437" spans="1:5" x14ac:dyDescent="0.3">
      <c r="A437" s="2">
        <v>46093</v>
      </c>
      <c r="B437">
        <v>2026</v>
      </c>
      <c r="C437">
        <v>3</v>
      </c>
      <c r="D437" s="29" t="s">
        <v>37</v>
      </c>
      <c r="E437" s="29" t="s">
        <v>35</v>
      </c>
    </row>
    <row r="438" spans="1:5" x14ac:dyDescent="0.3">
      <c r="A438" s="2">
        <v>46094</v>
      </c>
      <c r="B438">
        <v>2026</v>
      </c>
      <c r="C438">
        <v>3</v>
      </c>
      <c r="D438" s="29" t="s">
        <v>37</v>
      </c>
      <c r="E438" s="29" t="s">
        <v>35</v>
      </c>
    </row>
    <row r="439" spans="1:5" x14ac:dyDescent="0.3">
      <c r="A439" s="2">
        <v>46095</v>
      </c>
      <c r="B439">
        <v>2026</v>
      </c>
      <c r="C439">
        <v>3</v>
      </c>
      <c r="D439" s="29" t="s">
        <v>37</v>
      </c>
      <c r="E439" s="29" t="s">
        <v>35</v>
      </c>
    </row>
    <row r="440" spans="1:5" x14ac:dyDescent="0.3">
      <c r="A440" s="2">
        <v>46096</v>
      </c>
      <c r="B440">
        <v>2026</v>
      </c>
      <c r="C440">
        <v>3</v>
      </c>
      <c r="D440" s="29" t="s">
        <v>37</v>
      </c>
      <c r="E440" s="29" t="s">
        <v>35</v>
      </c>
    </row>
    <row r="441" spans="1:5" x14ac:dyDescent="0.3">
      <c r="A441" s="2">
        <v>46097</v>
      </c>
      <c r="B441">
        <v>2026</v>
      </c>
      <c r="C441">
        <v>3</v>
      </c>
      <c r="D441" s="29" t="s">
        <v>37</v>
      </c>
      <c r="E441" s="29" t="s">
        <v>35</v>
      </c>
    </row>
    <row r="442" spans="1:5" x14ac:dyDescent="0.3">
      <c r="A442" s="2">
        <v>46098</v>
      </c>
      <c r="B442">
        <v>2026</v>
      </c>
      <c r="C442">
        <v>3</v>
      </c>
      <c r="D442" s="29" t="s">
        <v>37</v>
      </c>
      <c r="E442" s="29" t="s">
        <v>35</v>
      </c>
    </row>
    <row r="443" spans="1:5" x14ac:dyDescent="0.3">
      <c r="A443" s="2">
        <v>46099</v>
      </c>
      <c r="B443">
        <v>2026</v>
      </c>
      <c r="C443">
        <v>3</v>
      </c>
      <c r="D443" s="29" t="s">
        <v>37</v>
      </c>
      <c r="E443" s="29" t="s">
        <v>35</v>
      </c>
    </row>
    <row r="444" spans="1:5" x14ac:dyDescent="0.3">
      <c r="A444" s="2">
        <v>46100</v>
      </c>
      <c r="B444">
        <v>2026</v>
      </c>
      <c r="C444">
        <v>3</v>
      </c>
      <c r="D444" s="29" t="s">
        <v>37</v>
      </c>
      <c r="E444" s="29" t="s">
        <v>35</v>
      </c>
    </row>
    <row r="445" spans="1:5" x14ac:dyDescent="0.3">
      <c r="A445" s="2">
        <v>46101</v>
      </c>
      <c r="B445">
        <v>2026</v>
      </c>
      <c r="C445">
        <v>3</v>
      </c>
      <c r="D445" s="29" t="s">
        <v>37</v>
      </c>
      <c r="E445" s="29" t="s">
        <v>35</v>
      </c>
    </row>
    <row r="446" spans="1:5" x14ac:dyDescent="0.3">
      <c r="A446" s="2">
        <v>46102</v>
      </c>
      <c r="B446">
        <v>2026</v>
      </c>
      <c r="C446">
        <v>3</v>
      </c>
      <c r="D446" s="29" t="s">
        <v>37</v>
      </c>
      <c r="E446" s="29" t="s">
        <v>35</v>
      </c>
    </row>
    <row r="447" spans="1:5" x14ac:dyDescent="0.3">
      <c r="A447" s="2">
        <v>46103</v>
      </c>
      <c r="B447">
        <v>2026</v>
      </c>
      <c r="C447">
        <v>3</v>
      </c>
      <c r="D447" s="29" t="s">
        <v>37</v>
      </c>
      <c r="E447" s="29" t="s">
        <v>35</v>
      </c>
    </row>
    <row r="448" spans="1:5" x14ac:dyDescent="0.3">
      <c r="A448" s="2">
        <v>46104</v>
      </c>
      <c r="B448">
        <v>2026</v>
      </c>
      <c r="C448">
        <v>3</v>
      </c>
      <c r="D448" s="29" t="s">
        <v>37</v>
      </c>
      <c r="E448" s="29" t="s">
        <v>35</v>
      </c>
    </row>
    <row r="449" spans="1:5" x14ac:dyDescent="0.3">
      <c r="A449" s="2">
        <v>46105</v>
      </c>
      <c r="B449">
        <v>2026</v>
      </c>
      <c r="C449">
        <v>3</v>
      </c>
      <c r="D449" s="29" t="s">
        <v>37</v>
      </c>
      <c r="E449" s="29" t="s">
        <v>35</v>
      </c>
    </row>
    <row r="450" spans="1:5" x14ac:dyDescent="0.3">
      <c r="A450" s="2">
        <v>46106</v>
      </c>
      <c r="B450">
        <v>2026</v>
      </c>
      <c r="C450">
        <v>3</v>
      </c>
      <c r="D450" s="29" t="s">
        <v>37</v>
      </c>
      <c r="E450" s="29" t="s">
        <v>35</v>
      </c>
    </row>
    <row r="451" spans="1:5" x14ac:dyDescent="0.3">
      <c r="A451" s="2">
        <v>46107</v>
      </c>
      <c r="B451">
        <v>2026</v>
      </c>
      <c r="C451">
        <v>3</v>
      </c>
      <c r="D451" s="29" t="s">
        <v>37</v>
      </c>
      <c r="E451" s="29" t="s">
        <v>35</v>
      </c>
    </row>
    <row r="452" spans="1:5" x14ac:dyDescent="0.3">
      <c r="A452" s="2">
        <v>46108</v>
      </c>
      <c r="B452">
        <v>2026</v>
      </c>
      <c r="C452">
        <v>3</v>
      </c>
      <c r="D452" s="29" t="s">
        <v>37</v>
      </c>
      <c r="E452" s="29" t="s">
        <v>35</v>
      </c>
    </row>
    <row r="453" spans="1:5" x14ac:dyDescent="0.3">
      <c r="A453" s="2">
        <v>46109</v>
      </c>
      <c r="B453">
        <v>2026</v>
      </c>
      <c r="C453">
        <v>3</v>
      </c>
      <c r="D453" s="29" t="s">
        <v>37</v>
      </c>
      <c r="E453" s="29" t="s">
        <v>35</v>
      </c>
    </row>
    <row r="454" spans="1:5" x14ac:dyDescent="0.3">
      <c r="A454" s="2">
        <v>46110</v>
      </c>
      <c r="B454">
        <v>2026</v>
      </c>
      <c r="C454">
        <v>3</v>
      </c>
      <c r="D454" s="29" t="s">
        <v>37</v>
      </c>
      <c r="E454" s="29" t="s">
        <v>35</v>
      </c>
    </row>
    <row r="455" spans="1:5" x14ac:dyDescent="0.3">
      <c r="A455" s="2">
        <v>46111</v>
      </c>
      <c r="B455">
        <v>2026</v>
      </c>
      <c r="C455">
        <v>3</v>
      </c>
      <c r="D455" s="29" t="s">
        <v>37</v>
      </c>
      <c r="E455" s="29" t="s">
        <v>35</v>
      </c>
    </row>
    <row r="456" spans="1:5" x14ac:dyDescent="0.3">
      <c r="A456" s="2">
        <v>46112</v>
      </c>
      <c r="B456">
        <v>2026</v>
      </c>
      <c r="C456">
        <v>3</v>
      </c>
      <c r="D456" s="29" t="s">
        <v>37</v>
      </c>
      <c r="E456" s="29" t="s">
        <v>35</v>
      </c>
    </row>
    <row r="457" spans="1:5" x14ac:dyDescent="0.3">
      <c r="A457" s="2">
        <v>46113</v>
      </c>
      <c r="B457">
        <v>2026</v>
      </c>
      <c r="C457">
        <v>4</v>
      </c>
      <c r="D457" s="29" t="s">
        <v>38</v>
      </c>
      <c r="E457" s="29" t="s">
        <v>39</v>
      </c>
    </row>
    <row r="458" spans="1:5" x14ac:dyDescent="0.3">
      <c r="A458" s="2">
        <v>46114</v>
      </c>
      <c r="B458">
        <v>2026</v>
      </c>
      <c r="C458">
        <v>4</v>
      </c>
      <c r="D458" s="29" t="s">
        <v>38</v>
      </c>
      <c r="E458" s="29" t="s">
        <v>39</v>
      </c>
    </row>
    <row r="459" spans="1:5" x14ac:dyDescent="0.3">
      <c r="A459" s="2">
        <v>46115</v>
      </c>
      <c r="B459">
        <v>2026</v>
      </c>
      <c r="C459">
        <v>4</v>
      </c>
      <c r="D459" s="29" t="s">
        <v>38</v>
      </c>
      <c r="E459" s="29" t="s">
        <v>39</v>
      </c>
    </row>
    <row r="460" spans="1:5" x14ac:dyDescent="0.3">
      <c r="A460" s="2">
        <v>46116</v>
      </c>
      <c r="B460">
        <v>2026</v>
      </c>
      <c r="C460">
        <v>4</v>
      </c>
      <c r="D460" s="29" t="s">
        <v>38</v>
      </c>
      <c r="E460" s="29" t="s">
        <v>39</v>
      </c>
    </row>
    <row r="461" spans="1:5" x14ac:dyDescent="0.3">
      <c r="A461" s="2">
        <v>46117</v>
      </c>
      <c r="B461">
        <v>2026</v>
      </c>
      <c r="C461">
        <v>4</v>
      </c>
      <c r="D461" s="29" t="s">
        <v>38</v>
      </c>
      <c r="E461" s="29" t="s">
        <v>39</v>
      </c>
    </row>
    <row r="462" spans="1:5" x14ac:dyDescent="0.3">
      <c r="A462" s="2">
        <v>46118</v>
      </c>
      <c r="B462">
        <v>2026</v>
      </c>
      <c r="C462">
        <v>4</v>
      </c>
      <c r="D462" s="29" t="s">
        <v>38</v>
      </c>
      <c r="E462" s="29" t="s">
        <v>39</v>
      </c>
    </row>
    <row r="463" spans="1:5" x14ac:dyDescent="0.3">
      <c r="A463" s="2">
        <v>46119</v>
      </c>
      <c r="B463">
        <v>2026</v>
      </c>
      <c r="C463">
        <v>4</v>
      </c>
      <c r="D463" s="29" t="s">
        <v>38</v>
      </c>
      <c r="E463" s="29" t="s">
        <v>39</v>
      </c>
    </row>
    <row r="464" spans="1:5" x14ac:dyDescent="0.3">
      <c r="A464" s="2">
        <v>46120</v>
      </c>
      <c r="B464">
        <v>2026</v>
      </c>
      <c r="C464">
        <v>4</v>
      </c>
      <c r="D464" s="29" t="s">
        <v>38</v>
      </c>
      <c r="E464" s="29" t="s">
        <v>39</v>
      </c>
    </row>
    <row r="465" spans="1:5" x14ac:dyDescent="0.3">
      <c r="A465" s="2">
        <v>46121</v>
      </c>
      <c r="B465">
        <v>2026</v>
      </c>
      <c r="C465">
        <v>4</v>
      </c>
      <c r="D465" s="29" t="s">
        <v>38</v>
      </c>
      <c r="E465" s="29" t="s">
        <v>39</v>
      </c>
    </row>
    <row r="466" spans="1:5" x14ac:dyDescent="0.3">
      <c r="A466" s="2">
        <v>46122</v>
      </c>
      <c r="B466">
        <v>2026</v>
      </c>
      <c r="C466">
        <v>4</v>
      </c>
      <c r="D466" s="29" t="s">
        <v>38</v>
      </c>
      <c r="E466" s="29" t="s">
        <v>39</v>
      </c>
    </row>
    <row r="467" spans="1:5" x14ac:dyDescent="0.3">
      <c r="A467" s="2">
        <v>46123</v>
      </c>
      <c r="B467">
        <v>2026</v>
      </c>
      <c r="C467">
        <v>4</v>
      </c>
      <c r="D467" s="29" t="s">
        <v>38</v>
      </c>
      <c r="E467" s="29" t="s">
        <v>39</v>
      </c>
    </row>
    <row r="468" spans="1:5" x14ac:dyDescent="0.3">
      <c r="A468" s="2">
        <v>46124</v>
      </c>
      <c r="B468">
        <v>2026</v>
      </c>
      <c r="C468">
        <v>4</v>
      </c>
      <c r="D468" s="29" t="s">
        <v>38</v>
      </c>
      <c r="E468" s="29" t="s">
        <v>39</v>
      </c>
    </row>
    <row r="469" spans="1:5" x14ac:dyDescent="0.3">
      <c r="A469" s="2">
        <v>46125</v>
      </c>
      <c r="B469">
        <v>2026</v>
      </c>
      <c r="C469">
        <v>4</v>
      </c>
      <c r="D469" s="29" t="s">
        <v>38</v>
      </c>
      <c r="E469" s="29" t="s">
        <v>39</v>
      </c>
    </row>
    <row r="470" spans="1:5" x14ac:dyDescent="0.3">
      <c r="A470" s="2">
        <v>46126</v>
      </c>
      <c r="B470">
        <v>2026</v>
      </c>
      <c r="C470">
        <v>4</v>
      </c>
      <c r="D470" s="29" t="s">
        <v>38</v>
      </c>
      <c r="E470" s="29" t="s">
        <v>39</v>
      </c>
    </row>
    <row r="471" spans="1:5" x14ac:dyDescent="0.3">
      <c r="A471" s="2">
        <v>46127</v>
      </c>
      <c r="B471">
        <v>2026</v>
      </c>
      <c r="C471">
        <v>4</v>
      </c>
      <c r="D471" s="29" t="s">
        <v>38</v>
      </c>
      <c r="E471" s="29" t="s">
        <v>39</v>
      </c>
    </row>
    <row r="472" spans="1:5" x14ac:dyDescent="0.3">
      <c r="A472" s="2">
        <v>46128</v>
      </c>
      <c r="B472">
        <v>2026</v>
      </c>
      <c r="C472">
        <v>4</v>
      </c>
      <c r="D472" s="29" t="s">
        <v>38</v>
      </c>
      <c r="E472" s="29" t="s">
        <v>39</v>
      </c>
    </row>
    <row r="473" spans="1:5" x14ac:dyDescent="0.3">
      <c r="A473" s="2">
        <v>46129</v>
      </c>
      <c r="B473">
        <v>2026</v>
      </c>
      <c r="C473">
        <v>4</v>
      </c>
      <c r="D473" s="29" t="s">
        <v>38</v>
      </c>
      <c r="E473" s="29" t="s">
        <v>39</v>
      </c>
    </row>
    <row r="474" spans="1:5" x14ac:dyDescent="0.3">
      <c r="A474" s="2">
        <v>46130</v>
      </c>
      <c r="B474">
        <v>2026</v>
      </c>
      <c r="C474">
        <v>4</v>
      </c>
      <c r="D474" s="29" t="s">
        <v>38</v>
      </c>
      <c r="E474" s="29" t="s">
        <v>39</v>
      </c>
    </row>
    <row r="475" spans="1:5" x14ac:dyDescent="0.3">
      <c r="A475" s="2">
        <v>46131</v>
      </c>
      <c r="B475">
        <v>2026</v>
      </c>
      <c r="C475">
        <v>4</v>
      </c>
      <c r="D475" s="29" t="s">
        <v>38</v>
      </c>
      <c r="E475" s="29" t="s">
        <v>39</v>
      </c>
    </row>
    <row r="476" spans="1:5" x14ac:dyDescent="0.3">
      <c r="A476" s="2">
        <v>46132</v>
      </c>
      <c r="B476">
        <v>2026</v>
      </c>
      <c r="C476">
        <v>4</v>
      </c>
      <c r="D476" s="29" t="s">
        <v>38</v>
      </c>
      <c r="E476" s="29" t="s">
        <v>39</v>
      </c>
    </row>
    <row r="477" spans="1:5" x14ac:dyDescent="0.3">
      <c r="A477" s="2">
        <v>46133</v>
      </c>
      <c r="B477">
        <v>2026</v>
      </c>
      <c r="C477">
        <v>4</v>
      </c>
      <c r="D477" s="29" t="s">
        <v>38</v>
      </c>
      <c r="E477" s="29" t="s">
        <v>39</v>
      </c>
    </row>
    <row r="478" spans="1:5" x14ac:dyDescent="0.3">
      <c r="A478" s="2">
        <v>46134</v>
      </c>
      <c r="B478">
        <v>2026</v>
      </c>
      <c r="C478">
        <v>4</v>
      </c>
      <c r="D478" s="29" t="s">
        <v>38</v>
      </c>
      <c r="E478" s="29" t="s">
        <v>39</v>
      </c>
    </row>
    <row r="479" spans="1:5" x14ac:dyDescent="0.3">
      <c r="A479" s="2">
        <v>46135</v>
      </c>
      <c r="B479">
        <v>2026</v>
      </c>
      <c r="C479">
        <v>4</v>
      </c>
      <c r="D479" s="29" t="s">
        <v>38</v>
      </c>
      <c r="E479" s="29" t="s">
        <v>39</v>
      </c>
    </row>
    <row r="480" spans="1:5" x14ac:dyDescent="0.3">
      <c r="A480" s="2">
        <v>46136</v>
      </c>
      <c r="B480">
        <v>2026</v>
      </c>
      <c r="C480">
        <v>4</v>
      </c>
      <c r="D480" s="29" t="s">
        <v>38</v>
      </c>
      <c r="E480" s="29" t="s">
        <v>39</v>
      </c>
    </row>
    <row r="481" spans="1:5" x14ac:dyDescent="0.3">
      <c r="A481" s="2">
        <v>46137</v>
      </c>
      <c r="B481">
        <v>2026</v>
      </c>
      <c r="C481">
        <v>4</v>
      </c>
      <c r="D481" s="29" t="s">
        <v>38</v>
      </c>
      <c r="E481" s="29" t="s">
        <v>39</v>
      </c>
    </row>
    <row r="482" spans="1:5" x14ac:dyDescent="0.3">
      <c r="A482" s="2">
        <v>46138</v>
      </c>
      <c r="B482">
        <v>2026</v>
      </c>
      <c r="C482">
        <v>4</v>
      </c>
      <c r="D482" s="29" t="s">
        <v>38</v>
      </c>
      <c r="E482" s="29" t="s">
        <v>39</v>
      </c>
    </row>
    <row r="483" spans="1:5" x14ac:dyDescent="0.3">
      <c r="A483" s="2">
        <v>46139</v>
      </c>
      <c r="B483">
        <v>2026</v>
      </c>
      <c r="C483">
        <v>4</v>
      </c>
      <c r="D483" s="29" t="s">
        <v>38</v>
      </c>
      <c r="E483" s="29" t="s">
        <v>39</v>
      </c>
    </row>
    <row r="484" spans="1:5" x14ac:dyDescent="0.3">
      <c r="A484" s="2">
        <v>46140</v>
      </c>
      <c r="B484">
        <v>2026</v>
      </c>
      <c r="C484">
        <v>4</v>
      </c>
      <c r="D484" s="29" t="s">
        <v>38</v>
      </c>
      <c r="E484" s="29" t="s">
        <v>39</v>
      </c>
    </row>
    <row r="485" spans="1:5" x14ac:dyDescent="0.3">
      <c r="A485" s="2">
        <v>46141</v>
      </c>
      <c r="B485">
        <v>2026</v>
      </c>
      <c r="C485">
        <v>4</v>
      </c>
      <c r="D485" s="29" t="s">
        <v>38</v>
      </c>
      <c r="E485" s="29" t="s">
        <v>39</v>
      </c>
    </row>
    <row r="486" spans="1:5" x14ac:dyDescent="0.3">
      <c r="A486" s="2">
        <v>46142</v>
      </c>
      <c r="B486">
        <v>2026</v>
      </c>
      <c r="C486">
        <v>4</v>
      </c>
      <c r="D486" s="29" t="s">
        <v>38</v>
      </c>
      <c r="E486" s="29" t="s">
        <v>39</v>
      </c>
    </row>
    <row r="487" spans="1:5" x14ac:dyDescent="0.3">
      <c r="A487" s="2">
        <v>46143</v>
      </c>
      <c r="B487">
        <v>2026</v>
      </c>
      <c r="C487">
        <v>5</v>
      </c>
      <c r="D487" s="29" t="s">
        <v>40</v>
      </c>
      <c r="E487" s="29" t="s">
        <v>39</v>
      </c>
    </row>
    <row r="488" spans="1:5" x14ac:dyDescent="0.3">
      <c r="A488" s="2">
        <v>46144</v>
      </c>
      <c r="B488">
        <v>2026</v>
      </c>
      <c r="C488">
        <v>5</v>
      </c>
      <c r="D488" s="29" t="s">
        <v>40</v>
      </c>
      <c r="E488" s="29" t="s">
        <v>39</v>
      </c>
    </row>
    <row r="489" spans="1:5" x14ac:dyDescent="0.3">
      <c r="A489" s="2">
        <v>46145</v>
      </c>
      <c r="B489">
        <v>2026</v>
      </c>
      <c r="C489">
        <v>5</v>
      </c>
      <c r="D489" s="29" t="s">
        <v>40</v>
      </c>
      <c r="E489" s="29" t="s">
        <v>39</v>
      </c>
    </row>
    <row r="490" spans="1:5" x14ac:dyDescent="0.3">
      <c r="A490" s="2">
        <v>46146</v>
      </c>
      <c r="B490">
        <v>2026</v>
      </c>
      <c r="C490">
        <v>5</v>
      </c>
      <c r="D490" s="29" t="s">
        <v>40</v>
      </c>
      <c r="E490" s="29" t="s">
        <v>39</v>
      </c>
    </row>
    <row r="491" spans="1:5" x14ac:dyDescent="0.3">
      <c r="A491" s="2">
        <v>46147</v>
      </c>
      <c r="B491">
        <v>2026</v>
      </c>
      <c r="C491">
        <v>5</v>
      </c>
      <c r="D491" s="29" t="s">
        <v>40</v>
      </c>
      <c r="E491" s="29" t="s">
        <v>39</v>
      </c>
    </row>
    <row r="492" spans="1:5" x14ac:dyDescent="0.3">
      <c r="A492" s="2">
        <v>46148</v>
      </c>
      <c r="B492">
        <v>2026</v>
      </c>
      <c r="C492">
        <v>5</v>
      </c>
      <c r="D492" s="29" t="s">
        <v>40</v>
      </c>
      <c r="E492" s="29" t="s">
        <v>39</v>
      </c>
    </row>
    <row r="493" spans="1:5" x14ac:dyDescent="0.3">
      <c r="A493" s="2">
        <v>46149</v>
      </c>
      <c r="B493">
        <v>2026</v>
      </c>
      <c r="C493">
        <v>5</v>
      </c>
      <c r="D493" s="29" t="s">
        <v>40</v>
      </c>
      <c r="E493" s="29" t="s">
        <v>39</v>
      </c>
    </row>
    <row r="494" spans="1:5" x14ac:dyDescent="0.3">
      <c r="A494" s="2">
        <v>46150</v>
      </c>
      <c r="B494">
        <v>2026</v>
      </c>
      <c r="C494">
        <v>5</v>
      </c>
      <c r="D494" s="29" t="s">
        <v>40</v>
      </c>
      <c r="E494" s="29" t="s">
        <v>39</v>
      </c>
    </row>
    <row r="495" spans="1:5" x14ac:dyDescent="0.3">
      <c r="A495" s="2">
        <v>46151</v>
      </c>
      <c r="B495">
        <v>2026</v>
      </c>
      <c r="C495">
        <v>5</v>
      </c>
      <c r="D495" s="29" t="s">
        <v>40</v>
      </c>
      <c r="E495" s="29" t="s">
        <v>39</v>
      </c>
    </row>
    <row r="496" spans="1:5" x14ac:dyDescent="0.3">
      <c r="A496" s="2">
        <v>46152</v>
      </c>
      <c r="B496">
        <v>2026</v>
      </c>
      <c r="C496">
        <v>5</v>
      </c>
      <c r="D496" s="29" t="s">
        <v>40</v>
      </c>
      <c r="E496" s="29" t="s">
        <v>39</v>
      </c>
    </row>
    <row r="497" spans="1:5" x14ac:dyDescent="0.3">
      <c r="A497" s="2">
        <v>46153</v>
      </c>
      <c r="B497">
        <v>2026</v>
      </c>
      <c r="C497">
        <v>5</v>
      </c>
      <c r="D497" s="29" t="s">
        <v>40</v>
      </c>
      <c r="E497" s="29" t="s">
        <v>39</v>
      </c>
    </row>
    <row r="498" spans="1:5" x14ac:dyDescent="0.3">
      <c r="A498" s="2">
        <v>46154</v>
      </c>
      <c r="B498">
        <v>2026</v>
      </c>
      <c r="C498">
        <v>5</v>
      </c>
      <c r="D498" s="29" t="s">
        <v>40</v>
      </c>
      <c r="E498" s="29" t="s">
        <v>39</v>
      </c>
    </row>
    <row r="499" spans="1:5" x14ac:dyDescent="0.3">
      <c r="A499" s="2">
        <v>46155</v>
      </c>
      <c r="B499">
        <v>2026</v>
      </c>
      <c r="C499">
        <v>5</v>
      </c>
      <c r="D499" s="29" t="s">
        <v>40</v>
      </c>
      <c r="E499" s="29" t="s">
        <v>39</v>
      </c>
    </row>
    <row r="500" spans="1:5" x14ac:dyDescent="0.3">
      <c r="A500" s="2">
        <v>46156</v>
      </c>
      <c r="B500">
        <v>2026</v>
      </c>
      <c r="C500">
        <v>5</v>
      </c>
      <c r="D500" s="29" t="s">
        <v>40</v>
      </c>
      <c r="E500" s="29" t="s">
        <v>39</v>
      </c>
    </row>
    <row r="501" spans="1:5" x14ac:dyDescent="0.3">
      <c r="A501" s="2">
        <v>46157</v>
      </c>
      <c r="B501">
        <v>2026</v>
      </c>
      <c r="C501">
        <v>5</v>
      </c>
      <c r="D501" s="29" t="s">
        <v>40</v>
      </c>
      <c r="E501" s="29" t="s">
        <v>39</v>
      </c>
    </row>
    <row r="502" spans="1:5" x14ac:dyDescent="0.3">
      <c r="A502" s="2">
        <v>46158</v>
      </c>
      <c r="B502">
        <v>2026</v>
      </c>
      <c r="C502">
        <v>5</v>
      </c>
      <c r="D502" s="29" t="s">
        <v>40</v>
      </c>
      <c r="E502" s="29" t="s">
        <v>39</v>
      </c>
    </row>
    <row r="503" spans="1:5" x14ac:dyDescent="0.3">
      <c r="A503" s="2">
        <v>46159</v>
      </c>
      <c r="B503">
        <v>2026</v>
      </c>
      <c r="C503">
        <v>5</v>
      </c>
      <c r="D503" s="29" t="s">
        <v>40</v>
      </c>
      <c r="E503" s="29" t="s">
        <v>39</v>
      </c>
    </row>
    <row r="504" spans="1:5" x14ac:dyDescent="0.3">
      <c r="A504" s="2">
        <v>46160</v>
      </c>
      <c r="B504">
        <v>2026</v>
      </c>
      <c r="C504">
        <v>5</v>
      </c>
      <c r="D504" s="29" t="s">
        <v>40</v>
      </c>
      <c r="E504" s="29" t="s">
        <v>39</v>
      </c>
    </row>
    <row r="505" spans="1:5" x14ac:dyDescent="0.3">
      <c r="A505" s="2">
        <v>46161</v>
      </c>
      <c r="B505">
        <v>2026</v>
      </c>
      <c r="C505">
        <v>5</v>
      </c>
      <c r="D505" s="29" t="s">
        <v>40</v>
      </c>
      <c r="E505" s="29" t="s">
        <v>39</v>
      </c>
    </row>
    <row r="506" spans="1:5" x14ac:dyDescent="0.3">
      <c r="A506" s="2">
        <v>46162</v>
      </c>
      <c r="B506">
        <v>2026</v>
      </c>
      <c r="C506">
        <v>5</v>
      </c>
      <c r="D506" s="29" t="s">
        <v>40</v>
      </c>
      <c r="E506" s="29" t="s">
        <v>39</v>
      </c>
    </row>
    <row r="507" spans="1:5" x14ac:dyDescent="0.3">
      <c r="A507" s="2">
        <v>46163</v>
      </c>
      <c r="B507">
        <v>2026</v>
      </c>
      <c r="C507">
        <v>5</v>
      </c>
      <c r="D507" s="29" t="s">
        <v>40</v>
      </c>
      <c r="E507" s="29" t="s">
        <v>39</v>
      </c>
    </row>
    <row r="508" spans="1:5" x14ac:dyDescent="0.3">
      <c r="A508" s="2">
        <v>46164</v>
      </c>
      <c r="B508">
        <v>2026</v>
      </c>
      <c r="C508">
        <v>5</v>
      </c>
      <c r="D508" s="29" t="s">
        <v>40</v>
      </c>
      <c r="E508" s="29" t="s">
        <v>39</v>
      </c>
    </row>
    <row r="509" spans="1:5" x14ac:dyDescent="0.3">
      <c r="A509" s="2">
        <v>46165</v>
      </c>
      <c r="B509">
        <v>2026</v>
      </c>
      <c r="C509">
        <v>5</v>
      </c>
      <c r="D509" s="29" t="s">
        <v>40</v>
      </c>
      <c r="E509" s="29" t="s">
        <v>39</v>
      </c>
    </row>
    <row r="510" spans="1:5" x14ac:dyDescent="0.3">
      <c r="A510" s="2">
        <v>46166</v>
      </c>
      <c r="B510">
        <v>2026</v>
      </c>
      <c r="C510">
        <v>5</v>
      </c>
      <c r="D510" s="29" t="s">
        <v>40</v>
      </c>
      <c r="E510" s="29" t="s">
        <v>39</v>
      </c>
    </row>
    <row r="511" spans="1:5" x14ac:dyDescent="0.3">
      <c r="A511" s="2">
        <v>46167</v>
      </c>
      <c r="B511">
        <v>2026</v>
      </c>
      <c r="C511">
        <v>5</v>
      </c>
      <c r="D511" s="29" t="s">
        <v>40</v>
      </c>
      <c r="E511" s="29" t="s">
        <v>39</v>
      </c>
    </row>
    <row r="512" spans="1:5" x14ac:dyDescent="0.3">
      <c r="A512" s="2">
        <v>46168</v>
      </c>
      <c r="B512">
        <v>2026</v>
      </c>
      <c r="C512">
        <v>5</v>
      </c>
      <c r="D512" s="29" t="s">
        <v>40</v>
      </c>
      <c r="E512" s="29" t="s">
        <v>39</v>
      </c>
    </row>
    <row r="513" spans="1:5" x14ac:dyDescent="0.3">
      <c r="A513" s="2">
        <v>46169</v>
      </c>
      <c r="B513">
        <v>2026</v>
      </c>
      <c r="C513">
        <v>5</v>
      </c>
      <c r="D513" s="29" t="s">
        <v>40</v>
      </c>
      <c r="E513" s="29" t="s">
        <v>39</v>
      </c>
    </row>
    <row r="514" spans="1:5" x14ac:dyDescent="0.3">
      <c r="A514" s="2">
        <v>46170</v>
      </c>
      <c r="B514">
        <v>2026</v>
      </c>
      <c r="C514">
        <v>5</v>
      </c>
      <c r="D514" s="29" t="s">
        <v>40</v>
      </c>
      <c r="E514" s="29" t="s">
        <v>39</v>
      </c>
    </row>
    <row r="515" spans="1:5" x14ac:dyDescent="0.3">
      <c r="A515" s="2">
        <v>46171</v>
      </c>
      <c r="B515">
        <v>2026</v>
      </c>
      <c r="C515">
        <v>5</v>
      </c>
      <c r="D515" s="29" t="s">
        <v>40</v>
      </c>
      <c r="E515" s="29" t="s">
        <v>39</v>
      </c>
    </row>
    <row r="516" spans="1:5" x14ac:dyDescent="0.3">
      <c r="A516" s="2">
        <v>46172</v>
      </c>
      <c r="B516">
        <v>2026</v>
      </c>
      <c r="C516">
        <v>5</v>
      </c>
      <c r="D516" s="29" t="s">
        <v>40</v>
      </c>
      <c r="E516" s="29" t="s">
        <v>39</v>
      </c>
    </row>
    <row r="517" spans="1:5" x14ac:dyDescent="0.3">
      <c r="A517" s="2">
        <v>46173</v>
      </c>
      <c r="B517">
        <v>2026</v>
      </c>
      <c r="C517">
        <v>5</v>
      </c>
      <c r="D517" s="29" t="s">
        <v>40</v>
      </c>
      <c r="E517" s="29" t="s">
        <v>39</v>
      </c>
    </row>
    <row r="518" spans="1:5" x14ac:dyDescent="0.3">
      <c r="A518" s="2">
        <v>46174</v>
      </c>
      <c r="B518">
        <v>2026</v>
      </c>
      <c r="C518">
        <v>6</v>
      </c>
      <c r="D518" s="29" t="s">
        <v>41</v>
      </c>
      <c r="E518" s="29" t="s">
        <v>39</v>
      </c>
    </row>
    <row r="519" spans="1:5" x14ac:dyDescent="0.3">
      <c r="A519" s="2">
        <v>46175</v>
      </c>
      <c r="B519">
        <v>2026</v>
      </c>
      <c r="C519">
        <v>6</v>
      </c>
      <c r="D519" s="29" t="s">
        <v>41</v>
      </c>
      <c r="E519" s="29" t="s">
        <v>39</v>
      </c>
    </row>
    <row r="520" spans="1:5" x14ac:dyDescent="0.3">
      <c r="A520" s="2">
        <v>46176</v>
      </c>
      <c r="B520">
        <v>2026</v>
      </c>
      <c r="C520">
        <v>6</v>
      </c>
      <c r="D520" s="29" t="s">
        <v>41</v>
      </c>
      <c r="E520" s="29" t="s">
        <v>39</v>
      </c>
    </row>
    <row r="521" spans="1:5" x14ac:dyDescent="0.3">
      <c r="A521" s="2">
        <v>46177</v>
      </c>
      <c r="B521">
        <v>2026</v>
      </c>
      <c r="C521">
        <v>6</v>
      </c>
      <c r="D521" s="29" t="s">
        <v>41</v>
      </c>
      <c r="E521" s="29" t="s">
        <v>39</v>
      </c>
    </row>
    <row r="522" spans="1:5" x14ac:dyDescent="0.3">
      <c r="A522" s="2">
        <v>46178</v>
      </c>
      <c r="B522">
        <v>2026</v>
      </c>
      <c r="C522">
        <v>6</v>
      </c>
      <c r="D522" s="29" t="s">
        <v>41</v>
      </c>
      <c r="E522" s="29" t="s">
        <v>39</v>
      </c>
    </row>
    <row r="523" spans="1:5" x14ac:dyDescent="0.3">
      <c r="A523" s="2">
        <v>46179</v>
      </c>
      <c r="B523">
        <v>2026</v>
      </c>
      <c r="C523">
        <v>6</v>
      </c>
      <c r="D523" s="29" t="s">
        <v>41</v>
      </c>
      <c r="E523" s="29" t="s">
        <v>39</v>
      </c>
    </row>
    <row r="524" spans="1:5" x14ac:dyDescent="0.3">
      <c r="A524" s="2">
        <v>46180</v>
      </c>
      <c r="B524">
        <v>2026</v>
      </c>
      <c r="C524">
        <v>6</v>
      </c>
      <c r="D524" s="29" t="s">
        <v>41</v>
      </c>
      <c r="E524" s="29" t="s">
        <v>39</v>
      </c>
    </row>
    <row r="525" spans="1:5" x14ac:dyDescent="0.3">
      <c r="A525" s="2">
        <v>46181</v>
      </c>
      <c r="B525">
        <v>2026</v>
      </c>
      <c r="C525">
        <v>6</v>
      </c>
      <c r="D525" s="29" t="s">
        <v>41</v>
      </c>
      <c r="E525" s="29" t="s">
        <v>39</v>
      </c>
    </row>
    <row r="526" spans="1:5" x14ac:dyDescent="0.3">
      <c r="A526" s="2">
        <v>46182</v>
      </c>
      <c r="B526">
        <v>2026</v>
      </c>
      <c r="C526">
        <v>6</v>
      </c>
      <c r="D526" s="29" t="s">
        <v>41</v>
      </c>
      <c r="E526" s="29" t="s">
        <v>39</v>
      </c>
    </row>
    <row r="527" spans="1:5" x14ac:dyDescent="0.3">
      <c r="A527" s="2">
        <v>46183</v>
      </c>
      <c r="B527">
        <v>2026</v>
      </c>
      <c r="C527">
        <v>6</v>
      </c>
      <c r="D527" s="29" t="s">
        <v>41</v>
      </c>
      <c r="E527" s="29" t="s">
        <v>39</v>
      </c>
    </row>
    <row r="528" spans="1:5" x14ac:dyDescent="0.3">
      <c r="A528" s="2">
        <v>46184</v>
      </c>
      <c r="B528">
        <v>2026</v>
      </c>
      <c r="C528">
        <v>6</v>
      </c>
      <c r="D528" s="29" t="s">
        <v>41</v>
      </c>
      <c r="E528" s="29" t="s">
        <v>39</v>
      </c>
    </row>
    <row r="529" spans="1:5" x14ac:dyDescent="0.3">
      <c r="A529" s="2">
        <v>46185</v>
      </c>
      <c r="B529">
        <v>2026</v>
      </c>
      <c r="C529">
        <v>6</v>
      </c>
      <c r="D529" s="29" t="s">
        <v>41</v>
      </c>
      <c r="E529" s="29" t="s">
        <v>39</v>
      </c>
    </row>
    <row r="530" spans="1:5" x14ac:dyDescent="0.3">
      <c r="A530" s="2">
        <v>46186</v>
      </c>
      <c r="B530">
        <v>2026</v>
      </c>
      <c r="C530">
        <v>6</v>
      </c>
      <c r="D530" s="29" t="s">
        <v>41</v>
      </c>
      <c r="E530" s="29" t="s">
        <v>39</v>
      </c>
    </row>
    <row r="531" spans="1:5" x14ac:dyDescent="0.3">
      <c r="A531" s="2">
        <v>46187</v>
      </c>
      <c r="B531">
        <v>2026</v>
      </c>
      <c r="C531">
        <v>6</v>
      </c>
      <c r="D531" s="29" t="s">
        <v>41</v>
      </c>
      <c r="E531" s="29" t="s">
        <v>39</v>
      </c>
    </row>
    <row r="532" spans="1:5" x14ac:dyDescent="0.3">
      <c r="A532" s="2">
        <v>46188</v>
      </c>
      <c r="B532">
        <v>2026</v>
      </c>
      <c r="C532">
        <v>6</v>
      </c>
      <c r="D532" s="29" t="s">
        <v>41</v>
      </c>
      <c r="E532" s="29" t="s">
        <v>39</v>
      </c>
    </row>
    <row r="533" spans="1:5" x14ac:dyDescent="0.3">
      <c r="A533" s="2">
        <v>46189</v>
      </c>
      <c r="B533">
        <v>2026</v>
      </c>
      <c r="C533">
        <v>6</v>
      </c>
      <c r="D533" s="29" t="s">
        <v>41</v>
      </c>
      <c r="E533" s="29" t="s">
        <v>39</v>
      </c>
    </row>
    <row r="534" spans="1:5" x14ac:dyDescent="0.3">
      <c r="A534" s="2">
        <v>46190</v>
      </c>
      <c r="B534">
        <v>2026</v>
      </c>
      <c r="C534">
        <v>6</v>
      </c>
      <c r="D534" s="29" t="s">
        <v>41</v>
      </c>
      <c r="E534" s="29" t="s">
        <v>39</v>
      </c>
    </row>
    <row r="535" spans="1:5" x14ac:dyDescent="0.3">
      <c r="A535" s="2">
        <v>46191</v>
      </c>
      <c r="B535">
        <v>2026</v>
      </c>
      <c r="C535">
        <v>6</v>
      </c>
      <c r="D535" s="29" t="s">
        <v>41</v>
      </c>
      <c r="E535" s="29" t="s">
        <v>39</v>
      </c>
    </row>
    <row r="536" spans="1:5" x14ac:dyDescent="0.3">
      <c r="A536" s="2">
        <v>46192</v>
      </c>
      <c r="B536">
        <v>2026</v>
      </c>
      <c r="C536">
        <v>6</v>
      </c>
      <c r="D536" s="29" t="s">
        <v>41</v>
      </c>
      <c r="E536" s="29" t="s">
        <v>39</v>
      </c>
    </row>
    <row r="537" spans="1:5" x14ac:dyDescent="0.3">
      <c r="A537" s="2">
        <v>46193</v>
      </c>
      <c r="B537">
        <v>2026</v>
      </c>
      <c r="C537">
        <v>6</v>
      </c>
      <c r="D537" s="29" t="s">
        <v>41</v>
      </c>
      <c r="E537" s="29" t="s">
        <v>39</v>
      </c>
    </row>
    <row r="538" spans="1:5" x14ac:dyDescent="0.3">
      <c r="A538" s="2">
        <v>46194</v>
      </c>
      <c r="B538">
        <v>2026</v>
      </c>
      <c r="C538">
        <v>6</v>
      </c>
      <c r="D538" s="29" t="s">
        <v>41</v>
      </c>
      <c r="E538" s="29" t="s">
        <v>39</v>
      </c>
    </row>
    <row r="539" spans="1:5" x14ac:dyDescent="0.3">
      <c r="A539" s="2">
        <v>46195</v>
      </c>
      <c r="B539">
        <v>2026</v>
      </c>
      <c r="C539">
        <v>6</v>
      </c>
      <c r="D539" s="29" t="s">
        <v>41</v>
      </c>
      <c r="E539" s="29" t="s">
        <v>39</v>
      </c>
    </row>
    <row r="540" spans="1:5" x14ac:dyDescent="0.3">
      <c r="A540" s="2">
        <v>46196</v>
      </c>
      <c r="B540">
        <v>2026</v>
      </c>
      <c r="C540">
        <v>6</v>
      </c>
      <c r="D540" s="29" t="s">
        <v>41</v>
      </c>
      <c r="E540" s="29" t="s">
        <v>39</v>
      </c>
    </row>
    <row r="541" spans="1:5" x14ac:dyDescent="0.3">
      <c r="A541" s="2">
        <v>46197</v>
      </c>
      <c r="B541">
        <v>2026</v>
      </c>
      <c r="C541">
        <v>6</v>
      </c>
      <c r="D541" s="29" t="s">
        <v>41</v>
      </c>
      <c r="E541" s="29" t="s">
        <v>39</v>
      </c>
    </row>
    <row r="542" spans="1:5" x14ac:dyDescent="0.3">
      <c r="A542" s="2">
        <v>46198</v>
      </c>
      <c r="B542">
        <v>2026</v>
      </c>
      <c r="C542">
        <v>6</v>
      </c>
      <c r="D542" s="29" t="s">
        <v>41</v>
      </c>
      <c r="E542" s="29" t="s">
        <v>39</v>
      </c>
    </row>
    <row r="543" spans="1:5" x14ac:dyDescent="0.3">
      <c r="A543" s="2">
        <v>46199</v>
      </c>
      <c r="B543">
        <v>2026</v>
      </c>
      <c r="C543">
        <v>6</v>
      </c>
      <c r="D543" s="29" t="s">
        <v>41</v>
      </c>
      <c r="E543" s="29" t="s">
        <v>39</v>
      </c>
    </row>
    <row r="544" spans="1:5" x14ac:dyDescent="0.3">
      <c r="A544" s="2">
        <v>46200</v>
      </c>
      <c r="B544">
        <v>2026</v>
      </c>
      <c r="C544">
        <v>6</v>
      </c>
      <c r="D544" s="29" t="s">
        <v>41</v>
      </c>
      <c r="E544" s="29" t="s">
        <v>39</v>
      </c>
    </row>
    <row r="545" spans="1:5" x14ac:dyDescent="0.3">
      <c r="A545" s="2">
        <v>46201</v>
      </c>
      <c r="B545">
        <v>2026</v>
      </c>
      <c r="C545">
        <v>6</v>
      </c>
      <c r="D545" s="29" t="s">
        <v>41</v>
      </c>
      <c r="E545" s="29" t="s">
        <v>39</v>
      </c>
    </row>
    <row r="546" spans="1:5" x14ac:dyDescent="0.3">
      <c r="A546" s="2">
        <v>46202</v>
      </c>
      <c r="B546">
        <v>2026</v>
      </c>
      <c r="C546">
        <v>6</v>
      </c>
      <c r="D546" s="29" t="s">
        <v>41</v>
      </c>
      <c r="E546" s="29" t="s">
        <v>39</v>
      </c>
    </row>
    <row r="547" spans="1:5" x14ac:dyDescent="0.3">
      <c r="A547" s="2">
        <v>46203</v>
      </c>
      <c r="B547">
        <v>2026</v>
      </c>
      <c r="C547">
        <v>6</v>
      </c>
      <c r="D547" s="29" t="s">
        <v>41</v>
      </c>
      <c r="E547" s="29" t="s">
        <v>39</v>
      </c>
    </row>
    <row r="548" spans="1:5" x14ac:dyDescent="0.3">
      <c r="A548" s="2">
        <v>46204</v>
      </c>
      <c r="B548">
        <v>2026</v>
      </c>
      <c r="C548">
        <v>7</v>
      </c>
      <c r="D548" s="29" t="s">
        <v>42</v>
      </c>
      <c r="E548" s="29" t="s">
        <v>43</v>
      </c>
    </row>
    <row r="549" spans="1:5" x14ac:dyDescent="0.3">
      <c r="A549" s="2">
        <v>46205</v>
      </c>
      <c r="B549">
        <v>2026</v>
      </c>
      <c r="C549">
        <v>7</v>
      </c>
      <c r="D549" s="29" t="s">
        <v>42</v>
      </c>
      <c r="E549" s="29" t="s">
        <v>43</v>
      </c>
    </row>
    <row r="550" spans="1:5" x14ac:dyDescent="0.3">
      <c r="A550" s="2">
        <v>46206</v>
      </c>
      <c r="B550">
        <v>2026</v>
      </c>
      <c r="C550">
        <v>7</v>
      </c>
      <c r="D550" s="29" t="s">
        <v>42</v>
      </c>
      <c r="E550" s="29" t="s">
        <v>43</v>
      </c>
    </row>
    <row r="551" spans="1:5" x14ac:dyDescent="0.3">
      <c r="A551" s="2">
        <v>46207</v>
      </c>
      <c r="B551">
        <v>2026</v>
      </c>
      <c r="C551">
        <v>7</v>
      </c>
      <c r="D551" s="29" t="s">
        <v>42</v>
      </c>
      <c r="E551" s="29" t="s">
        <v>43</v>
      </c>
    </row>
    <row r="552" spans="1:5" x14ac:dyDescent="0.3">
      <c r="A552" s="2">
        <v>46208</v>
      </c>
      <c r="B552">
        <v>2026</v>
      </c>
      <c r="C552">
        <v>7</v>
      </c>
      <c r="D552" s="29" t="s">
        <v>42</v>
      </c>
      <c r="E552" s="29" t="s">
        <v>43</v>
      </c>
    </row>
    <row r="553" spans="1:5" x14ac:dyDescent="0.3">
      <c r="A553" s="2">
        <v>46209</v>
      </c>
      <c r="B553">
        <v>2026</v>
      </c>
      <c r="C553">
        <v>7</v>
      </c>
      <c r="D553" s="29" t="s">
        <v>42</v>
      </c>
      <c r="E553" s="29" t="s">
        <v>43</v>
      </c>
    </row>
    <row r="554" spans="1:5" x14ac:dyDescent="0.3">
      <c r="A554" s="2">
        <v>46210</v>
      </c>
      <c r="B554">
        <v>2026</v>
      </c>
      <c r="C554">
        <v>7</v>
      </c>
      <c r="D554" s="29" t="s">
        <v>42</v>
      </c>
      <c r="E554" s="29" t="s">
        <v>43</v>
      </c>
    </row>
    <row r="555" spans="1:5" x14ac:dyDescent="0.3">
      <c r="A555" s="2">
        <v>46211</v>
      </c>
      <c r="B555">
        <v>2026</v>
      </c>
      <c r="C555">
        <v>7</v>
      </c>
      <c r="D555" s="29" t="s">
        <v>42</v>
      </c>
      <c r="E555" s="29" t="s">
        <v>43</v>
      </c>
    </row>
    <row r="556" spans="1:5" x14ac:dyDescent="0.3">
      <c r="A556" s="2">
        <v>46212</v>
      </c>
      <c r="B556">
        <v>2026</v>
      </c>
      <c r="C556">
        <v>7</v>
      </c>
      <c r="D556" s="29" t="s">
        <v>42</v>
      </c>
      <c r="E556" s="29" t="s">
        <v>43</v>
      </c>
    </row>
    <row r="557" spans="1:5" x14ac:dyDescent="0.3">
      <c r="A557" s="2">
        <v>46213</v>
      </c>
      <c r="B557">
        <v>2026</v>
      </c>
      <c r="C557">
        <v>7</v>
      </c>
      <c r="D557" s="29" t="s">
        <v>42</v>
      </c>
      <c r="E557" s="29" t="s">
        <v>43</v>
      </c>
    </row>
    <row r="558" spans="1:5" x14ac:dyDescent="0.3">
      <c r="A558" s="2">
        <v>46214</v>
      </c>
      <c r="B558">
        <v>2026</v>
      </c>
      <c r="C558">
        <v>7</v>
      </c>
      <c r="D558" s="29" t="s">
        <v>42</v>
      </c>
      <c r="E558" s="29" t="s">
        <v>43</v>
      </c>
    </row>
    <row r="559" spans="1:5" x14ac:dyDescent="0.3">
      <c r="A559" s="2">
        <v>46215</v>
      </c>
      <c r="B559">
        <v>2026</v>
      </c>
      <c r="C559">
        <v>7</v>
      </c>
      <c r="D559" s="29" t="s">
        <v>42</v>
      </c>
      <c r="E559" s="29" t="s">
        <v>43</v>
      </c>
    </row>
    <row r="560" spans="1:5" x14ac:dyDescent="0.3">
      <c r="A560" s="2">
        <v>46216</v>
      </c>
      <c r="B560">
        <v>2026</v>
      </c>
      <c r="C560">
        <v>7</v>
      </c>
      <c r="D560" s="29" t="s">
        <v>42</v>
      </c>
      <c r="E560" s="29" t="s">
        <v>43</v>
      </c>
    </row>
    <row r="561" spans="1:5" x14ac:dyDescent="0.3">
      <c r="A561" s="2">
        <v>46217</v>
      </c>
      <c r="B561">
        <v>2026</v>
      </c>
      <c r="C561">
        <v>7</v>
      </c>
      <c r="D561" s="29" t="s">
        <v>42</v>
      </c>
      <c r="E561" s="29" t="s">
        <v>43</v>
      </c>
    </row>
    <row r="562" spans="1:5" x14ac:dyDescent="0.3">
      <c r="A562" s="2">
        <v>46218</v>
      </c>
      <c r="B562">
        <v>2026</v>
      </c>
      <c r="C562">
        <v>7</v>
      </c>
      <c r="D562" s="29" t="s">
        <v>42</v>
      </c>
      <c r="E562" s="29" t="s">
        <v>43</v>
      </c>
    </row>
    <row r="563" spans="1:5" x14ac:dyDescent="0.3">
      <c r="A563" s="2">
        <v>46219</v>
      </c>
      <c r="B563">
        <v>2026</v>
      </c>
      <c r="C563">
        <v>7</v>
      </c>
      <c r="D563" s="29" t="s">
        <v>42</v>
      </c>
      <c r="E563" s="29" t="s">
        <v>43</v>
      </c>
    </row>
    <row r="564" spans="1:5" x14ac:dyDescent="0.3">
      <c r="A564" s="2">
        <v>46220</v>
      </c>
      <c r="B564">
        <v>2026</v>
      </c>
      <c r="C564">
        <v>7</v>
      </c>
      <c r="D564" s="29" t="s">
        <v>42</v>
      </c>
      <c r="E564" s="29" t="s">
        <v>43</v>
      </c>
    </row>
    <row r="565" spans="1:5" x14ac:dyDescent="0.3">
      <c r="A565" s="2">
        <v>46221</v>
      </c>
      <c r="B565">
        <v>2026</v>
      </c>
      <c r="C565">
        <v>7</v>
      </c>
      <c r="D565" s="29" t="s">
        <v>42</v>
      </c>
      <c r="E565" s="29" t="s">
        <v>43</v>
      </c>
    </row>
    <row r="566" spans="1:5" x14ac:dyDescent="0.3">
      <c r="A566" s="2">
        <v>46222</v>
      </c>
      <c r="B566">
        <v>2026</v>
      </c>
      <c r="C566">
        <v>7</v>
      </c>
      <c r="D566" s="29" t="s">
        <v>42</v>
      </c>
      <c r="E566" s="29" t="s">
        <v>43</v>
      </c>
    </row>
    <row r="567" spans="1:5" x14ac:dyDescent="0.3">
      <c r="A567" s="2">
        <v>46223</v>
      </c>
      <c r="B567">
        <v>2026</v>
      </c>
      <c r="C567">
        <v>7</v>
      </c>
      <c r="D567" s="29" t="s">
        <v>42</v>
      </c>
      <c r="E567" s="29" t="s">
        <v>43</v>
      </c>
    </row>
    <row r="568" spans="1:5" x14ac:dyDescent="0.3">
      <c r="A568" s="2">
        <v>46224</v>
      </c>
      <c r="B568">
        <v>2026</v>
      </c>
      <c r="C568">
        <v>7</v>
      </c>
      <c r="D568" s="29" t="s">
        <v>42</v>
      </c>
      <c r="E568" s="29" t="s">
        <v>43</v>
      </c>
    </row>
    <row r="569" spans="1:5" x14ac:dyDescent="0.3">
      <c r="A569" s="2">
        <v>46225</v>
      </c>
      <c r="B569">
        <v>2026</v>
      </c>
      <c r="C569">
        <v>7</v>
      </c>
      <c r="D569" s="29" t="s">
        <v>42</v>
      </c>
      <c r="E569" s="29" t="s">
        <v>43</v>
      </c>
    </row>
    <row r="570" spans="1:5" x14ac:dyDescent="0.3">
      <c r="A570" s="2">
        <v>46226</v>
      </c>
      <c r="B570">
        <v>2026</v>
      </c>
      <c r="C570">
        <v>7</v>
      </c>
      <c r="D570" s="29" t="s">
        <v>42</v>
      </c>
      <c r="E570" s="29" t="s">
        <v>43</v>
      </c>
    </row>
    <row r="571" spans="1:5" x14ac:dyDescent="0.3">
      <c r="A571" s="2">
        <v>46227</v>
      </c>
      <c r="B571">
        <v>2026</v>
      </c>
      <c r="C571">
        <v>7</v>
      </c>
      <c r="D571" s="29" t="s">
        <v>42</v>
      </c>
      <c r="E571" s="29" t="s">
        <v>43</v>
      </c>
    </row>
    <row r="572" spans="1:5" x14ac:dyDescent="0.3">
      <c r="A572" s="2">
        <v>46228</v>
      </c>
      <c r="B572">
        <v>2026</v>
      </c>
      <c r="C572">
        <v>7</v>
      </c>
      <c r="D572" s="29" t="s">
        <v>42</v>
      </c>
      <c r="E572" s="29" t="s">
        <v>43</v>
      </c>
    </row>
    <row r="573" spans="1:5" x14ac:dyDescent="0.3">
      <c r="A573" s="2">
        <v>46229</v>
      </c>
      <c r="B573">
        <v>2026</v>
      </c>
      <c r="C573">
        <v>7</v>
      </c>
      <c r="D573" s="29" t="s">
        <v>42</v>
      </c>
      <c r="E573" s="29" t="s">
        <v>43</v>
      </c>
    </row>
    <row r="574" spans="1:5" x14ac:dyDescent="0.3">
      <c r="A574" s="2">
        <v>46230</v>
      </c>
      <c r="B574">
        <v>2026</v>
      </c>
      <c r="C574">
        <v>7</v>
      </c>
      <c r="D574" s="29" t="s">
        <v>42</v>
      </c>
      <c r="E574" s="29" t="s">
        <v>43</v>
      </c>
    </row>
    <row r="575" spans="1:5" x14ac:dyDescent="0.3">
      <c r="A575" s="2">
        <v>46231</v>
      </c>
      <c r="B575">
        <v>2026</v>
      </c>
      <c r="C575">
        <v>7</v>
      </c>
      <c r="D575" s="29" t="s">
        <v>42</v>
      </c>
      <c r="E575" s="29" t="s">
        <v>43</v>
      </c>
    </row>
    <row r="576" spans="1:5" x14ac:dyDescent="0.3">
      <c r="A576" s="2">
        <v>46232</v>
      </c>
      <c r="B576">
        <v>2026</v>
      </c>
      <c r="C576">
        <v>7</v>
      </c>
      <c r="D576" s="29" t="s">
        <v>42</v>
      </c>
      <c r="E576" s="29" t="s">
        <v>43</v>
      </c>
    </row>
    <row r="577" spans="1:5" x14ac:dyDescent="0.3">
      <c r="A577" s="2">
        <v>46233</v>
      </c>
      <c r="B577">
        <v>2026</v>
      </c>
      <c r="C577">
        <v>7</v>
      </c>
      <c r="D577" s="29" t="s">
        <v>42</v>
      </c>
      <c r="E577" s="29" t="s">
        <v>43</v>
      </c>
    </row>
    <row r="578" spans="1:5" x14ac:dyDescent="0.3">
      <c r="A578" s="2">
        <v>46234</v>
      </c>
      <c r="B578">
        <v>2026</v>
      </c>
      <c r="C578">
        <v>7</v>
      </c>
      <c r="D578" s="29" t="s">
        <v>42</v>
      </c>
      <c r="E578" s="29" t="s">
        <v>43</v>
      </c>
    </row>
    <row r="579" spans="1:5" x14ac:dyDescent="0.3">
      <c r="A579" s="2">
        <v>46235</v>
      </c>
      <c r="B579">
        <v>2026</v>
      </c>
      <c r="C579">
        <v>8</v>
      </c>
      <c r="D579" s="29" t="s">
        <v>44</v>
      </c>
      <c r="E579" s="29" t="s">
        <v>43</v>
      </c>
    </row>
    <row r="580" spans="1:5" x14ac:dyDescent="0.3">
      <c r="A580" s="2">
        <v>46236</v>
      </c>
      <c r="B580">
        <v>2026</v>
      </c>
      <c r="C580">
        <v>8</v>
      </c>
      <c r="D580" s="29" t="s">
        <v>44</v>
      </c>
      <c r="E580" s="29" t="s">
        <v>43</v>
      </c>
    </row>
    <row r="581" spans="1:5" x14ac:dyDescent="0.3">
      <c r="A581" s="2">
        <v>46237</v>
      </c>
      <c r="B581">
        <v>2026</v>
      </c>
      <c r="C581">
        <v>8</v>
      </c>
      <c r="D581" s="29" t="s">
        <v>44</v>
      </c>
      <c r="E581" s="29" t="s">
        <v>43</v>
      </c>
    </row>
    <row r="582" spans="1:5" x14ac:dyDescent="0.3">
      <c r="A582" s="2">
        <v>46238</v>
      </c>
      <c r="B582">
        <v>2026</v>
      </c>
      <c r="C582">
        <v>8</v>
      </c>
      <c r="D582" s="29" t="s">
        <v>44</v>
      </c>
      <c r="E582" s="29" t="s">
        <v>43</v>
      </c>
    </row>
    <row r="583" spans="1:5" x14ac:dyDescent="0.3">
      <c r="A583" s="2">
        <v>46239</v>
      </c>
      <c r="B583">
        <v>2026</v>
      </c>
      <c r="C583">
        <v>8</v>
      </c>
      <c r="D583" s="29" t="s">
        <v>44</v>
      </c>
      <c r="E583" s="29" t="s">
        <v>43</v>
      </c>
    </row>
    <row r="584" spans="1:5" x14ac:dyDescent="0.3">
      <c r="A584" s="2">
        <v>46240</v>
      </c>
      <c r="B584">
        <v>2026</v>
      </c>
      <c r="C584">
        <v>8</v>
      </c>
      <c r="D584" s="29" t="s">
        <v>44</v>
      </c>
      <c r="E584" s="29" t="s">
        <v>43</v>
      </c>
    </row>
    <row r="585" spans="1:5" x14ac:dyDescent="0.3">
      <c r="A585" s="2">
        <v>46241</v>
      </c>
      <c r="B585">
        <v>2026</v>
      </c>
      <c r="C585">
        <v>8</v>
      </c>
      <c r="D585" s="29" t="s">
        <v>44</v>
      </c>
      <c r="E585" s="29" t="s">
        <v>43</v>
      </c>
    </row>
    <row r="586" spans="1:5" x14ac:dyDescent="0.3">
      <c r="A586" s="2">
        <v>46242</v>
      </c>
      <c r="B586">
        <v>2026</v>
      </c>
      <c r="C586">
        <v>8</v>
      </c>
      <c r="D586" s="29" t="s">
        <v>44</v>
      </c>
      <c r="E586" s="29" t="s">
        <v>43</v>
      </c>
    </row>
    <row r="587" spans="1:5" x14ac:dyDescent="0.3">
      <c r="A587" s="2">
        <v>46243</v>
      </c>
      <c r="B587">
        <v>2026</v>
      </c>
      <c r="C587">
        <v>8</v>
      </c>
      <c r="D587" s="29" t="s">
        <v>44</v>
      </c>
      <c r="E587" s="29" t="s">
        <v>43</v>
      </c>
    </row>
    <row r="588" spans="1:5" x14ac:dyDescent="0.3">
      <c r="A588" s="2">
        <v>46244</v>
      </c>
      <c r="B588">
        <v>2026</v>
      </c>
      <c r="C588">
        <v>8</v>
      </c>
      <c r="D588" s="29" t="s">
        <v>44</v>
      </c>
      <c r="E588" s="29" t="s">
        <v>43</v>
      </c>
    </row>
    <row r="589" spans="1:5" x14ac:dyDescent="0.3">
      <c r="A589" s="2">
        <v>46245</v>
      </c>
      <c r="B589">
        <v>2026</v>
      </c>
      <c r="C589">
        <v>8</v>
      </c>
      <c r="D589" s="29" t="s">
        <v>44</v>
      </c>
      <c r="E589" s="29" t="s">
        <v>43</v>
      </c>
    </row>
    <row r="590" spans="1:5" x14ac:dyDescent="0.3">
      <c r="A590" s="2">
        <v>46246</v>
      </c>
      <c r="B590">
        <v>2026</v>
      </c>
      <c r="C590">
        <v>8</v>
      </c>
      <c r="D590" s="29" t="s">
        <v>44</v>
      </c>
      <c r="E590" s="29" t="s">
        <v>43</v>
      </c>
    </row>
    <row r="591" spans="1:5" x14ac:dyDescent="0.3">
      <c r="A591" s="2">
        <v>46247</v>
      </c>
      <c r="B591">
        <v>2026</v>
      </c>
      <c r="C591">
        <v>8</v>
      </c>
      <c r="D591" s="29" t="s">
        <v>44</v>
      </c>
      <c r="E591" s="29" t="s">
        <v>43</v>
      </c>
    </row>
    <row r="592" spans="1:5" x14ac:dyDescent="0.3">
      <c r="A592" s="2">
        <v>46248</v>
      </c>
      <c r="B592">
        <v>2026</v>
      </c>
      <c r="C592">
        <v>8</v>
      </c>
      <c r="D592" s="29" t="s">
        <v>44</v>
      </c>
      <c r="E592" s="29" t="s">
        <v>43</v>
      </c>
    </row>
    <row r="593" spans="1:5" x14ac:dyDescent="0.3">
      <c r="A593" s="2">
        <v>46249</v>
      </c>
      <c r="B593">
        <v>2026</v>
      </c>
      <c r="C593">
        <v>8</v>
      </c>
      <c r="D593" s="29" t="s">
        <v>44</v>
      </c>
      <c r="E593" s="29" t="s">
        <v>43</v>
      </c>
    </row>
    <row r="594" spans="1:5" x14ac:dyDescent="0.3">
      <c r="A594" s="2">
        <v>46250</v>
      </c>
      <c r="B594">
        <v>2026</v>
      </c>
      <c r="C594">
        <v>8</v>
      </c>
      <c r="D594" s="29" t="s">
        <v>44</v>
      </c>
      <c r="E594" s="29" t="s">
        <v>43</v>
      </c>
    </row>
    <row r="595" spans="1:5" x14ac:dyDescent="0.3">
      <c r="A595" s="2">
        <v>46251</v>
      </c>
      <c r="B595">
        <v>2026</v>
      </c>
      <c r="C595">
        <v>8</v>
      </c>
      <c r="D595" s="29" t="s">
        <v>44</v>
      </c>
      <c r="E595" s="29" t="s">
        <v>43</v>
      </c>
    </row>
    <row r="596" spans="1:5" x14ac:dyDescent="0.3">
      <c r="A596" s="2">
        <v>46252</v>
      </c>
      <c r="B596">
        <v>2026</v>
      </c>
      <c r="C596">
        <v>8</v>
      </c>
      <c r="D596" s="29" t="s">
        <v>44</v>
      </c>
      <c r="E596" s="29" t="s">
        <v>43</v>
      </c>
    </row>
    <row r="597" spans="1:5" x14ac:dyDescent="0.3">
      <c r="A597" s="2">
        <v>46253</v>
      </c>
      <c r="B597">
        <v>2026</v>
      </c>
      <c r="C597">
        <v>8</v>
      </c>
      <c r="D597" s="29" t="s">
        <v>44</v>
      </c>
      <c r="E597" s="29" t="s">
        <v>43</v>
      </c>
    </row>
    <row r="598" spans="1:5" x14ac:dyDescent="0.3">
      <c r="A598" s="2">
        <v>46254</v>
      </c>
      <c r="B598">
        <v>2026</v>
      </c>
      <c r="C598">
        <v>8</v>
      </c>
      <c r="D598" s="29" t="s">
        <v>44</v>
      </c>
      <c r="E598" s="29" t="s">
        <v>43</v>
      </c>
    </row>
    <row r="599" spans="1:5" x14ac:dyDescent="0.3">
      <c r="A599" s="2">
        <v>46255</v>
      </c>
      <c r="B599">
        <v>2026</v>
      </c>
      <c r="C599">
        <v>8</v>
      </c>
      <c r="D599" s="29" t="s">
        <v>44</v>
      </c>
      <c r="E599" s="29" t="s">
        <v>43</v>
      </c>
    </row>
    <row r="600" spans="1:5" x14ac:dyDescent="0.3">
      <c r="A600" s="2">
        <v>46256</v>
      </c>
      <c r="B600">
        <v>2026</v>
      </c>
      <c r="C600">
        <v>8</v>
      </c>
      <c r="D600" s="29" t="s">
        <v>44</v>
      </c>
      <c r="E600" s="29" t="s">
        <v>43</v>
      </c>
    </row>
    <row r="601" spans="1:5" x14ac:dyDescent="0.3">
      <c r="A601" s="2">
        <v>46257</v>
      </c>
      <c r="B601">
        <v>2026</v>
      </c>
      <c r="C601">
        <v>8</v>
      </c>
      <c r="D601" s="29" t="s">
        <v>44</v>
      </c>
      <c r="E601" s="29" t="s">
        <v>43</v>
      </c>
    </row>
    <row r="602" spans="1:5" x14ac:dyDescent="0.3">
      <c r="A602" s="2">
        <v>46258</v>
      </c>
      <c r="B602">
        <v>2026</v>
      </c>
      <c r="C602">
        <v>8</v>
      </c>
      <c r="D602" s="29" t="s">
        <v>44</v>
      </c>
      <c r="E602" s="29" t="s">
        <v>43</v>
      </c>
    </row>
    <row r="603" spans="1:5" x14ac:dyDescent="0.3">
      <c r="A603" s="2">
        <v>46259</v>
      </c>
      <c r="B603">
        <v>2026</v>
      </c>
      <c r="C603">
        <v>8</v>
      </c>
      <c r="D603" s="29" t="s">
        <v>44</v>
      </c>
      <c r="E603" s="29" t="s">
        <v>43</v>
      </c>
    </row>
    <row r="604" spans="1:5" x14ac:dyDescent="0.3">
      <c r="A604" s="2">
        <v>46260</v>
      </c>
      <c r="B604">
        <v>2026</v>
      </c>
      <c r="C604">
        <v>8</v>
      </c>
      <c r="D604" s="29" t="s">
        <v>44</v>
      </c>
      <c r="E604" s="29" t="s">
        <v>43</v>
      </c>
    </row>
    <row r="605" spans="1:5" x14ac:dyDescent="0.3">
      <c r="A605" s="2">
        <v>46261</v>
      </c>
      <c r="B605">
        <v>2026</v>
      </c>
      <c r="C605">
        <v>8</v>
      </c>
      <c r="D605" s="29" t="s">
        <v>44</v>
      </c>
      <c r="E605" s="29" t="s">
        <v>43</v>
      </c>
    </row>
    <row r="606" spans="1:5" x14ac:dyDescent="0.3">
      <c r="A606" s="2">
        <v>46262</v>
      </c>
      <c r="B606">
        <v>2026</v>
      </c>
      <c r="C606">
        <v>8</v>
      </c>
      <c r="D606" s="29" t="s">
        <v>44</v>
      </c>
      <c r="E606" s="29" t="s">
        <v>43</v>
      </c>
    </row>
    <row r="607" spans="1:5" x14ac:dyDescent="0.3">
      <c r="A607" s="2">
        <v>46263</v>
      </c>
      <c r="B607">
        <v>2026</v>
      </c>
      <c r="C607">
        <v>8</v>
      </c>
      <c r="D607" s="29" t="s">
        <v>44</v>
      </c>
      <c r="E607" s="29" t="s">
        <v>43</v>
      </c>
    </row>
    <row r="608" spans="1:5" x14ac:dyDescent="0.3">
      <c r="A608" s="2">
        <v>46264</v>
      </c>
      <c r="B608">
        <v>2026</v>
      </c>
      <c r="C608">
        <v>8</v>
      </c>
      <c r="D608" s="29" t="s">
        <v>44</v>
      </c>
      <c r="E608" s="29" t="s">
        <v>43</v>
      </c>
    </row>
    <row r="609" spans="1:5" x14ac:dyDescent="0.3">
      <c r="A609" s="2">
        <v>46265</v>
      </c>
      <c r="B609">
        <v>2026</v>
      </c>
      <c r="C609">
        <v>8</v>
      </c>
      <c r="D609" s="29" t="s">
        <v>44</v>
      </c>
      <c r="E609" s="29" t="s">
        <v>43</v>
      </c>
    </row>
    <row r="610" spans="1:5" x14ac:dyDescent="0.3">
      <c r="A610" s="2">
        <v>46266</v>
      </c>
      <c r="B610">
        <v>2026</v>
      </c>
      <c r="C610">
        <v>9</v>
      </c>
      <c r="D610" s="29" t="s">
        <v>45</v>
      </c>
      <c r="E610" s="29" t="s">
        <v>43</v>
      </c>
    </row>
    <row r="611" spans="1:5" x14ac:dyDescent="0.3">
      <c r="A611" s="2">
        <v>46267</v>
      </c>
      <c r="B611">
        <v>2026</v>
      </c>
      <c r="C611">
        <v>9</v>
      </c>
      <c r="D611" s="29" t="s">
        <v>45</v>
      </c>
      <c r="E611" s="29" t="s">
        <v>43</v>
      </c>
    </row>
    <row r="612" spans="1:5" x14ac:dyDescent="0.3">
      <c r="A612" s="2">
        <v>46268</v>
      </c>
      <c r="B612">
        <v>2026</v>
      </c>
      <c r="C612">
        <v>9</v>
      </c>
      <c r="D612" s="29" t="s">
        <v>45</v>
      </c>
      <c r="E612" s="29" t="s">
        <v>43</v>
      </c>
    </row>
    <row r="613" spans="1:5" x14ac:dyDescent="0.3">
      <c r="A613" s="2">
        <v>46269</v>
      </c>
      <c r="B613">
        <v>2026</v>
      </c>
      <c r="C613">
        <v>9</v>
      </c>
      <c r="D613" s="29" t="s">
        <v>45</v>
      </c>
      <c r="E613" s="29" t="s">
        <v>43</v>
      </c>
    </row>
    <row r="614" spans="1:5" x14ac:dyDescent="0.3">
      <c r="A614" s="2">
        <v>46270</v>
      </c>
      <c r="B614">
        <v>2026</v>
      </c>
      <c r="C614">
        <v>9</v>
      </c>
      <c r="D614" s="29" t="s">
        <v>45</v>
      </c>
      <c r="E614" s="29" t="s">
        <v>43</v>
      </c>
    </row>
    <row r="615" spans="1:5" x14ac:dyDescent="0.3">
      <c r="A615" s="2">
        <v>46271</v>
      </c>
      <c r="B615">
        <v>2026</v>
      </c>
      <c r="C615">
        <v>9</v>
      </c>
      <c r="D615" s="29" t="s">
        <v>45</v>
      </c>
      <c r="E615" s="29" t="s">
        <v>43</v>
      </c>
    </row>
    <row r="616" spans="1:5" x14ac:dyDescent="0.3">
      <c r="A616" s="2">
        <v>46272</v>
      </c>
      <c r="B616">
        <v>2026</v>
      </c>
      <c r="C616">
        <v>9</v>
      </c>
      <c r="D616" s="29" t="s">
        <v>45</v>
      </c>
      <c r="E616" s="29" t="s">
        <v>43</v>
      </c>
    </row>
    <row r="617" spans="1:5" x14ac:dyDescent="0.3">
      <c r="A617" s="2">
        <v>46273</v>
      </c>
      <c r="B617">
        <v>2026</v>
      </c>
      <c r="C617">
        <v>9</v>
      </c>
      <c r="D617" s="29" t="s">
        <v>45</v>
      </c>
      <c r="E617" s="29" t="s">
        <v>43</v>
      </c>
    </row>
    <row r="618" spans="1:5" x14ac:dyDescent="0.3">
      <c r="A618" s="2">
        <v>46274</v>
      </c>
      <c r="B618">
        <v>2026</v>
      </c>
      <c r="C618">
        <v>9</v>
      </c>
      <c r="D618" s="29" t="s">
        <v>45</v>
      </c>
      <c r="E618" s="29" t="s">
        <v>43</v>
      </c>
    </row>
    <row r="619" spans="1:5" x14ac:dyDescent="0.3">
      <c r="A619" s="2">
        <v>46275</v>
      </c>
      <c r="B619">
        <v>2026</v>
      </c>
      <c r="C619">
        <v>9</v>
      </c>
      <c r="D619" s="29" t="s">
        <v>45</v>
      </c>
      <c r="E619" s="29" t="s">
        <v>43</v>
      </c>
    </row>
    <row r="620" spans="1:5" x14ac:dyDescent="0.3">
      <c r="A620" s="2">
        <v>46276</v>
      </c>
      <c r="B620">
        <v>2026</v>
      </c>
      <c r="C620">
        <v>9</v>
      </c>
      <c r="D620" s="29" t="s">
        <v>45</v>
      </c>
      <c r="E620" s="29" t="s">
        <v>43</v>
      </c>
    </row>
    <row r="621" spans="1:5" x14ac:dyDescent="0.3">
      <c r="A621" s="2">
        <v>46277</v>
      </c>
      <c r="B621">
        <v>2026</v>
      </c>
      <c r="C621">
        <v>9</v>
      </c>
      <c r="D621" s="29" t="s">
        <v>45</v>
      </c>
      <c r="E621" s="29" t="s">
        <v>43</v>
      </c>
    </row>
    <row r="622" spans="1:5" x14ac:dyDescent="0.3">
      <c r="A622" s="2">
        <v>46278</v>
      </c>
      <c r="B622">
        <v>2026</v>
      </c>
      <c r="C622">
        <v>9</v>
      </c>
      <c r="D622" s="29" t="s">
        <v>45</v>
      </c>
      <c r="E622" s="29" t="s">
        <v>43</v>
      </c>
    </row>
    <row r="623" spans="1:5" x14ac:dyDescent="0.3">
      <c r="A623" s="2">
        <v>46279</v>
      </c>
      <c r="B623">
        <v>2026</v>
      </c>
      <c r="C623">
        <v>9</v>
      </c>
      <c r="D623" s="29" t="s">
        <v>45</v>
      </c>
      <c r="E623" s="29" t="s">
        <v>43</v>
      </c>
    </row>
    <row r="624" spans="1:5" x14ac:dyDescent="0.3">
      <c r="A624" s="2">
        <v>46280</v>
      </c>
      <c r="B624">
        <v>2026</v>
      </c>
      <c r="C624">
        <v>9</v>
      </c>
      <c r="D624" s="29" t="s">
        <v>45</v>
      </c>
      <c r="E624" s="29" t="s">
        <v>43</v>
      </c>
    </row>
    <row r="625" spans="1:5" x14ac:dyDescent="0.3">
      <c r="A625" s="2">
        <v>46281</v>
      </c>
      <c r="B625">
        <v>2026</v>
      </c>
      <c r="C625">
        <v>9</v>
      </c>
      <c r="D625" s="29" t="s">
        <v>45</v>
      </c>
      <c r="E625" s="29" t="s">
        <v>43</v>
      </c>
    </row>
    <row r="626" spans="1:5" x14ac:dyDescent="0.3">
      <c r="A626" s="2">
        <v>46282</v>
      </c>
      <c r="B626">
        <v>2026</v>
      </c>
      <c r="C626">
        <v>9</v>
      </c>
      <c r="D626" s="29" t="s">
        <v>45</v>
      </c>
      <c r="E626" s="29" t="s">
        <v>43</v>
      </c>
    </row>
    <row r="627" spans="1:5" x14ac:dyDescent="0.3">
      <c r="A627" s="2">
        <v>46283</v>
      </c>
      <c r="B627">
        <v>2026</v>
      </c>
      <c r="C627">
        <v>9</v>
      </c>
      <c r="D627" s="29" t="s">
        <v>45</v>
      </c>
      <c r="E627" s="29" t="s">
        <v>43</v>
      </c>
    </row>
    <row r="628" spans="1:5" x14ac:dyDescent="0.3">
      <c r="A628" s="2">
        <v>46284</v>
      </c>
      <c r="B628">
        <v>2026</v>
      </c>
      <c r="C628">
        <v>9</v>
      </c>
      <c r="D628" s="29" t="s">
        <v>45</v>
      </c>
      <c r="E628" s="29" t="s">
        <v>43</v>
      </c>
    </row>
    <row r="629" spans="1:5" x14ac:dyDescent="0.3">
      <c r="A629" s="2">
        <v>46285</v>
      </c>
      <c r="B629">
        <v>2026</v>
      </c>
      <c r="C629">
        <v>9</v>
      </c>
      <c r="D629" s="29" t="s">
        <v>45</v>
      </c>
      <c r="E629" s="29" t="s">
        <v>43</v>
      </c>
    </row>
    <row r="630" spans="1:5" x14ac:dyDescent="0.3">
      <c r="A630" s="2">
        <v>46286</v>
      </c>
      <c r="B630">
        <v>2026</v>
      </c>
      <c r="C630">
        <v>9</v>
      </c>
      <c r="D630" s="29" t="s">
        <v>45</v>
      </c>
      <c r="E630" s="29" t="s">
        <v>43</v>
      </c>
    </row>
    <row r="631" spans="1:5" x14ac:dyDescent="0.3">
      <c r="A631" s="2">
        <v>46287</v>
      </c>
      <c r="B631">
        <v>2026</v>
      </c>
      <c r="C631">
        <v>9</v>
      </c>
      <c r="D631" s="29" t="s">
        <v>45</v>
      </c>
      <c r="E631" s="29" t="s">
        <v>43</v>
      </c>
    </row>
    <row r="632" spans="1:5" x14ac:dyDescent="0.3">
      <c r="A632" s="2">
        <v>46288</v>
      </c>
      <c r="B632">
        <v>2026</v>
      </c>
      <c r="C632">
        <v>9</v>
      </c>
      <c r="D632" s="29" t="s">
        <v>45</v>
      </c>
      <c r="E632" s="29" t="s">
        <v>43</v>
      </c>
    </row>
    <row r="633" spans="1:5" x14ac:dyDescent="0.3">
      <c r="A633" s="2">
        <v>46289</v>
      </c>
      <c r="B633">
        <v>2026</v>
      </c>
      <c r="C633">
        <v>9</v>
      </c>
      <c r="D633" s="29" t="s">
        <v>45</v>
      </c>
      <c r="E633" s="29" t="s">
        <v>43</v>
      </c>
    </row>
    <row r="634" spans="1:5" x14ac:dyDescent="0.3">
      <c r="A634" s="2">
        <v>46290</v>
      </c>
      <c r="B634">
        <v>2026</v>
      </c>
      <c r="C634">
        <v>9</v>
      </c>
      <c r="D634" s="29" t="s">
        <v>45</v>
      </c>
      <c r="E634" s="29" t="s">
        <v>43</v>
      </c>
    </row>
    <row r="635" spans="1:5" x14ac:dyDescent="0.3">
      <c r="A635" s="2">
        <v>46291</v>
      </c>
      <c r="B635">
        <v>2026</v>
      </c>
      <c r="C635">
        <v>9</v>
      </c>
      <c r="D635" s="29" t="s">
        <v>45</v>
      </c>
      <c r="E635" s="29" t="s">
        <v>43</v>
      </c>
    </row>
    <row r="636" spans="1:5" x14ac:dyDescent="0.3">
      <c r="A636" s="2">
        <v>46292</v>
      </c>
      <c r="B636">
        <v>2026</v>
      </c>
      <c r="C636">
        <v>9</v>
      </c>
      <c r="D636" s="29" t="s">
        <v>45</v>
      </c>
      <c r="E636" s="29" t="s">
        <v>43</v>
      </c>
    </row>
    <row r="637" spans="1:5" x14ac:dyDescent="0.3">
      <c r="A637" s="2">
        <v>46293</v>
      </c>
      <c r="B637">
        <v>2026</v>
      </c>
      <c r="C637">
        <v>9</v>
      </c>
      <c r="D637" s="29" t="s">
        <v>45</v>
      </c>
      <c r="E637" s="29" t="s">
        <v>43</v>
      </c>
    </row>
    <row r="638" spans="1:5" x14ac:dyDescent="0.3">
      <c r="A638" s="2">
        <v>46294</v>
      </c>
      <c r="B638">
        <v>2026</v>
      </c>
      <c r="C638">
        <v>9</v>
      </c>
      <c r="D638" s="29" t="s">
        <v>45</v>
      </c>
      <c r="E638" s="29" t="s">
        <v>43</v>
      </c>
    </row>
    <row r="639" spans="1:5" x14ac:dyDescent="0.3">
      <c r="A639" s="2">
        <v>46295</v>
      </c>
      <c r="B639">
        <v>2026</v>
      </c>
      <c r="C639">
        <v>9</v>
      </c>
      <c r="D639" s="29" t="s">
        <v>45</v>
      </c>
      <c r="E639" s="29" t="s">
        <v>43</v>
      </c>
    </row>
    <row r="640" spans="1:5" x14ac:dyDescent="0.3">
      <c r="A640" s="2">
        <v>46296</v>
      </c>
      <c r="B640">
        <v>2026</v>
      </c>
      <c r="C640">
        <v>10</v>
      </c>
      <c r="D640" s="29" t="s">
        <v>46</v>
      </c>
      <c r="E640" s="29" t="s">
        <v>47</v>
      </c>
    </row>
    <row r="641" spans="1:5" x14ac:dyDescent="0.3">
      <c r="A641" s="2">
        <v>46297</v>
      </c>
      <c r="B641">
        <v>2026</v>
      </c>
      <c r="C641">
        <v>10</v>
      </c>
      <c r="D641" s="29" t="s">
        <v>46</v>
      </c>
      <c r="E641" s="29" t="s">
        <v>47</v>
      </c>
    </row>
    <row r="642" spans="1:5" x14ac:dyDescent="0.3">
      <c r="A642" s="2">
        <v>46298</v>
      </c>
      <c r="B642">
        <v>2026</v>
      </c>
      <c r="C642">
        <v>10</v>
      </c>
      <c r="D642" s="29" t="s">
        <v>46</v>
      </c>
      <c r="E642" s="29" t="s">
        <v>47</v>
      </c>
    </row>
    <row r="643" spans="1:5" x14ac:dyDescent="0.3">
      <c r="A643" s="2">
        <v>46299</v>
      </c>
      <c r="B643">
        <v>2026</v>
      </c>
      <c r="C643">
        <v>10</v>
      </c>
      <c r="D643" s="29" t="s">
        <v>46</v>
      </c>
      <c r="E643" s="29" t="s">
        <v>47</v>
      </c>
    </row>
    <row r="644" spans="1:5" x14ac:dyDescent="0.3">
      <c r="A644" s="2">
        <v>46300</v>
      </c>
      <c r="B644">
        <v>2026</v>
      </c>
      <c r="C644">
        <v>10</v>
      </c>
      <c r="D644" s="29" t="s">
        <v>46</v>
      </c>
      <c r="E644" s="29" t="s">
        <v>47</v>
      </c>
    </row>
    <row r="645" spans="1:5" x14ac:dyDescent="0.3">
      <c r="A645" s="2">
        <v>46301</v>
      </c>
      <c r="B645">
        <v>2026</v>
      </c>
      <c r="C645">
        <v>10</v>
      </c>
      <c r="D645" s="29" t="s">
        <v>46</v>
      </c>
      <c r="E645" s="29" t="s">
        <v>47</v>
      </c>
    </row>
    <row r="646" spans="1:5" x14ac:dyDescent="0.3">
      <c r="A646" s="2">
        <v>46302</v>
      </c>
      <c r="B646">
        <v>2026</v>
      </c>
      <c r="C646">
        <v>10</v>
      </c>
      <c r="D646" s="29" t="s">
        <v>46</v>
      </c>
      <c r="E646" s="29" t="s">
        <v>47</v>
      </c>
    </row>
    <row r="647" spans="1:5" x14ac:dyDescent="0.3">
      <c r="A647" s="2">
        <v>46303</v>
      </c>
      <c r="B647">
        <v>2026</v>
      </c>
      <c r="C647">
        <v>10</v>
      </c>
      <c r="D647" s="29" t="s">
        <v>46</v>
      </c>
      <c r="E647" s="29" t="s">
        <v>47</v>
      </c>
    </row>
    <row r="648" spans="1:5" x14ac:dyDescent="0.3">
      <c r="A648" s="2">
        <v>46304</v>
      </c>
      <c r="B648">
        <v>2026</v>
      </c>
      <c r="C648">
        <v>10</v>
      </c>
      <c r="D648" s="29" t="s">
        <v>46</v>
      </c>
      <c r="E648" s="29" t="s">
        <v>47</v>
      </c>
    </row>
    <row r="649" spans="1:5" x14ac:dyDescent="0.3">
      <c r="A649" s="2">
        <v>46305</v>
      </c>
      <c r="B649">
        <v>2026</v>
      </c>
      <c r="C649">
        <v>10</v>
      </c>
      <c r="D649" s="29" t="s">
        <v>46</v>
      </c>
      <c r="E649" s="29" t="s">
        <v>47</v>
      </c>
    </row>
    <row r="650" spans="1:5" x14ac:dyDescent="0.3">
      <c r="A650" s="2">
        <v>46306</v>
      </c>
      <c r="B650">
        <v>2026</v>
      </c>
      <c r="C650">
        <v>10</v>
      </c>
      <c r="D650" s="29" t="s">
        <v>46</v>
      </c>
      <c r="E650" s="29" t="s">
        <v>47</v>
      </c>
    </row>
    <row r="651" spans="1:5" x14ac:dyDescent="0.3">
      <c r="A651" s="2">
        <v>46307</v>
      </c>
      <c r="B651">
        <v>2026</v>
      </c>
      <c r="C651">
        <v>10</v>
      </c>
      <c r="D651" s="29" t="s">
        <v>46</v>
      </c>
      <c r="E651" s="29" t="s">
        <v>47</v>
      </c>
    </row>
    <row r="652" spans="1:5" x14ac:dyDescent="0.3">
      <c r="A652" s="2">
        <v>46308</v>
      </c>
      <c r="B652">
        <v>2026</v>
      </c>
      <c r="C652">
        <v>10</v>
      </c>
      <c r="D652" s="29" t="s">
        <v>46</v>
      </c>
      <c r="E652" s="29" t="s">
        <v>47</v>
      </c>
    </row>
    <row r="653" spans="1:5" x14ac:dyDescent="0.3">
      <c r="A653" s="2">
        <v>46309</v>
      </c>
      <c r="B653">
        <v>2026</v>
      </c>
      <c r="C653">
        <v>10</v>
      </c>
      <c r="D653" s="29" t="s">
        <v>46</v>
      </c>
      <c r="E653" s="29" t="s">
        <v>47</v>
      </c>
    </row>
    <row r="654" spans="1:5" x14ac:dyDescent="0.3">
      <c r="A654" s="2">
        <v>46310</v>
      </c>
      <c r="B654">
        <v>2026</v>
      </c>
      <c r="C654">
        <v>10</v>
      </c>
      <c r="D654" s="29" t="s">
        <v>46</v>
      </c>
      <c r="E654" s="29" t="s">
        <v>47</v>
      </c>
    </row>
    <row r="655" spans="1:5" x14ac:dyDescent="0.3">
      <c r="A655" s="2">
        <v>46311</v>
      </c>
      <c r="B655">
        <v>2026</v>
      </c>
      <c r="C655">
        <v>10</v>
      </c>
      <c r="D655" s="29" t="s">
        <v>46</v>
      </c>
      <c r="E655" s="29" t="s">
        <v>47</v>
      </c>
    </row>
    <row r="656" spans="1:5" x14ac:dyDescent="0.3">
      <c r="A656" s="2">
        <v>46312</v>
      </c>
      <c r="B656">
        <v>2026</v>
      </c>
      <c r="C656">
        <v>10</v>
      </c>
      <c r="D656" s="29" t="s">
        <v>46</v>
      </c>
      <c r="E656" s="29" t="s">
        <v>47</v>
      </c>
    </row>
    <row r="657" spans="1:5" x14ac:dyDescent="0.3">
      <c r="A657" s="2">
        <v>46313</v>
      </c>
      <c r="B657">
        <v>2026</v>
      </c>
      <c r="C657">
        <v>10</v>
      </c>
      <c r="D657" s="29" t="s">
        <v>46</v>
      </c>
      <c r="E657" s="29" t="s">
        <v>47</v>
      </c>
    </row>
    <row r="658" spans="1:5" x14ac:dyDescent="0.3">
      <c r="A658" s="2">
        <v>46314</v>
      </c>
      <c r="B658">
        <v>2026</v>
      </c>
      <c r="C658">
        <v>10</v>
      </c>
      <c r="D658" s="29" t="s">
        <v>46</v>
      </c>
      <c r="E658" s="29" t="s">
        <v>47</v>
      </c>
    </row>
    <row r="659" spans="1:5" x14ac:dyDescent="0.3">
      <c r="A659" s="2">
        <v>46315</v>
      </c>
      <c r="B659">
        <v>2026</v>
      </c>
      <c r="C659">
        <v>10</v>
      </c>
      <c r="D659" s="29" t="s">
        <v>46</v>
      </c>
      <c r="E659" s="29" t="s">
        <v>47</v>
      </c>
    </row>
    <row r="660" spans="1:5" x14ac:dyDescent="0.3">
      <c r="A660" s="2">
        <v>46316</v>
      </c>
      <c r="B660">
        <v>2026</v>
      </c>
      <c r="C660">
        <v>10</v>
      </c>
      <c r="D660" s="29" t="s">
        <v>46</v>
      </c>
      <c r="E660" s="29" t="s">
        <v>47</v>
      </c>
    </row>
    <row r="661" spans="1:5" x14ac:dyDescent="0.3">
      <c r="A661" s="2">
        <v>46317</v>
      </c>
      <c r="B661">
        <v>2026</v>
      </c>
      <c r="C661">
        <v>10</v>
      </c>
      <c r="D661" s="29" t="s">
        <v>46</v>
      </c>
      <c r="E661" s="29" t="s">
        <v>47</v>
      </c>
    </row>
    <row r="662" spans="1:5" x14ac:dyDescent="0.3">
      <c r="A662" s="2">
        <v>46318</v>
      </c>
      <c r="B662">
        <v>2026</v>
      </c>
      <c r="C662">
        <v>10</v>
      </c>
      <c r="D662" s="29" t="s">
        <v>46</v>
      </c>
      <c r="E662" s="29" t="s">
        <v>47</v>
      </c>
    </row>
    <row r="663" spans="1:5" x14ac:dyDescent="0.3">
      <c r="A663" s="2">
        <v>46319</v>
      </c>
      <c r="B663">
        <v>2026</v>
      </c>
      <c r="C663">
        <v>10</v>
      </c>
      <c r="D663" s="29" t="s">
        <v>46</v>
      </c>
      <c r="E663" s="29" t="s">
        <v>47</v>
      </c>
    </row>
    <row r="664" spans="1:5" x14ac:dyDescent="0.3">
      <c r="A664" s="2">
        <v>46320</v>
      </c>
      <c r="B664">
        <v>2026</v>
      </c>
      <c r="C664">
        <v>10</v>
      </c>
      <c r="D664" s="29" t="s">
        <v>46</v>
      </c>
      <c r="E664" s="29" t="s">
        <v>47</v>
      </c>
    </row>
    <row r="665" spans="1:5" x14ac:dyDescent="0.3">
      <c r="A665" s="2">
        <v>46321</v>
      </c>
      <c r="B665">
        <v>2026</v>
      </c>
      <c r="C665">
        <v>10</v>
      </c>
      <c r="D665" s="29" t="s">
        <v>46</v>
      </c>
      <c r="E665" s="29" t="s">
        <v>47</v>
      </c>
    </row>
    <row r="666" spans="1:5" x14ac:dyDescent="0.3">
      <c r="A666" s="2">
        <v>46322</v>
      </c>
      <c r="B666">
        <v>2026</v>
      </c>
      <c r="C666">
        <v>10</v>
      </c>
      <c r="D666" s="29" t="s">
        <v>46</v>
      </c>
      <c r="E666" s="29" t="s">
        <v>47</v>
      </c>
    </row>
    <row r="667" spans="1:5" x14ac:dyDescent="0.3">
      <c r="A667" s="2">
        <v>46323</v>
      </c>
      <c r="B667">
        <v>2026</v>
      </c>
      <c r="C667">
        <v>10</v>
      </c>
      <c r="D667" s="29" t="s">
        <v>46</v>
      </c>
      <c r="E667" s="29" t="s">
        <v>47</v>
      </c>
    </row>
    <row r="668" spans="1:5" x14ac:dyDescent="0.3">
      <c r="A668" s="2">
        <v>46324</v>
      </c>
      <c r="B668">
        <v>2026</v>
      </c>
      <c r="C668">
        <v>10</v>
      </c>
      <c r="D668" s="29" t="s">
        <v>46</v>
      </c>
      <c r="E668" s="29" t="s">
        <v>47</v>
      </c>
    </row>
    <row r="669" spans="1:5" x14ac:dyDescent="0.3">
      <c r="A669" s="2">
        <v>46325</v>
      </c>
      <c r="B669">
        <v>2026</v>
      </c>
      <c r="C669">
        <v>10</v>
      </c>
      <c r="D669" s="29" t="s">
        <v>46</v>
      </c>
      <c r="E669" s="29" t="s">
        <v>47</v>
      </c>
    </row>
    <row r="670" spans="1:5" x14ac:dyDescent="0.3">
      <c r="A670" s="2">
        <v>46326</v>
      </c>
      <c r="B670">
        <v>2026</v>
      </c>
      <c r="C670">
        <v>10</v>
      </c>
      <c r="D670" s="29" t="s">
        <v>46</v>
      </c>
      <c r="E670" s="29" t="s">
        <v>47</v>
      </c>
    </row>
    <row r="671" spans="1:5" x14ac:dyDescent="0.3">
      <c r="A671" s="2">
        <v>46327</v>
      </c>
      <c r="B671">
        <v>2026</v>
      </c>
      <c r="C671">
        <v>11</v>
      </c>
      <c r="D671" s="29" t="s">
        <v>48</v>
      </c>
      <c r="E671" s="29" t="s">
        <v>47</v>
      </c>
    </row>
    <row r="672" spans="1:5" x14ac:dyDescent="0.3">
      <c r="A672" s="2">
        <v>46328</v>
      </c>
      <c r="B672">
        <v>2026</v>
      </c>
      <c r="C672">
        <v>11</v>
      </c>
      <c r="D672" s="29" t="s">
        <v>48</v>
      </c>
      <c r="E672" s="29" t="s">
        <v>47</v>
      </c>
    </row>
    <row r="673" spans="1:5" x14ac:dyDescent="0.3">
      <c r="A673" s="2">
        <v>46329</v>
      </c>
      <c r="B673">
        <v>2026</v>
      </c>
      <c r="C673">
        <v>11</v>
      </c>
      <c r="D673" s="29" t="s">
        <v>48</v>
      </c>
      <c r="E673" s="29" t="s">
        <v>47</v>
      </c>
    </row>
    <row r="674" spans="1:5" x14ac:dyDescent="0.3">
      <c r="A674" s="2">
        <v>46330</v>
      </c>
      <c r="B674">
        <v>2026</v>
      </c>
      <c r="C674">
        <v>11</v>
      </c>
      <c r="D674" s="29" t="s">
        <v>48</v>
      </c>
      <c r="E674" s="29" t="s">
        <v>47</v>
      </c>
    </row>
    <row r="675" spans="1:5" x14ac:dyDescent="0.3">
      <c r="A675" s="2">
        <v>46331</v>
      </c>
      <c r="B675">
        <v>2026</v>
      </c>
      <c r="C675">
        <v>11</v>
      </c>
      <c r="D675" s="29" t="s">
        <v>48</v>
      </c>
      <c r="E675" s="29" t="s">
        <v>47</v>
      </c>
    </row>
    <row r="676" spans="1:5" x14ac:dyDescent="0.3">
      <c r="A676" s="2">
        <v>46332</v>
      </c>
      <c r="B676">
        <v>2026</v>
      </c>
      <c r="C676">
        <v>11</v>
      </c>
      <c r="D676" s="29" t="s">
        <v>48</v>
      </c>
      <c r="E676" s="29" t="s">
        <v>47</v>
      </c>
    </row>
    <row r="677" spans="1:5" x14ac:dyDescent="0.3">
      <c r="A677" s="2">
        <v>46333</v>
      </c>
      <c r="B677">
        <v>2026</v>
      </c>
      <c r="C677">
        <v>11</v>
      </c>
      <c r="D677" s="29" t="s">
        <v>48</v>
      </c>
      <c r="E677" s="29" t="s">
        <v>47</v>
      </c>
    </row>
    <row r="678" spans="1:5" x14ac:dyDescent="0.3">
      <c r="A678" s="2">
        <v>46334</v>
      </c>
      <c r="B678">
        <v>2026</v>
      </c>
      <c r="C678">
        <v>11</v>
      </c>
      <c r="D678" s="29" t="s">
        <v>48</v>
      </c>
      <c r="E678" s="29" t="s">
        <v>47</v>
      </c>
    </row>
    <row r="679" spans="1:5" x14ac:dyDescent="0.3">
      <c r="A679" s="2">
        <v>46335</v>
      </c>
      <c r="B679">
        <v>2026</v>
      </c>
      <c r="C679">
        <v>11</v>
      </c>
      <c r="D679" s="29" t="s">
        <v>48</v>
      </c>
      <c r="E679" s="29" t="s">
        <v>47</v>
      </c>
    </row>
    <row r="680" spans="1:5" x14ac:dyDescent="0.3">
      <c r="A680" s="2">
        <v>46336</v>
      </c>
      <c r="B680">
        <v>2026</v>
      </c>
      <c r="C680">
        <v>11</v>
      </c>
      <c r="D680" s="29" t="s">
        <v>48</v>
      </c>
      <c r="E680" s="29" t="s">
        <v>47</v>
      </c>
    </row>
    <row r="681" spans="1:5" x14ac:dyDescent="0.3">
      <c r="A681" s="2">
        <v>46337</v>
      </c>
      <c r="B681">
        <v>2026</v>
      </c>
      <c r="C681">
        <v>11</v>
      </c>
      <c r="D681" s="29" t="s">
        <v>48</v>
      </c>
      <c r="E681" s="29" t="s">
        <v>47</v>
      </c>
    </row>
    <row r="682" spans="1:5" x14ac:dyDescent="0.3">
      <c r="A682" s="2">
        <v>46338</v>
      </c>
      <c r="B682">
        <v>2026</v>
      </c>
      <c r="C682">
        <v>11</v>
      </c>
      <c r="D682" s="29" t="s">
        <v>48</v>
      </c>
      <c r="E682" s="29" t="s">
        <v>47</v>
      </c>
    </row>
    <row r="683" spans="1:5" x14ac:dyDescent="0.3">
      <c r="A683" s="2">
        <v>46339</v>
      </c>
      <c r="B683">
        <v>2026</v>
      </c>
      <c r="C683">
        <v>11</v>
      </c>
      <c r="D683" s="29" t="s">
        <v>48</v>
      </c>
      <c r="E683" s="29" t="s">
        <v>47</v>
      </c>
    </row>
    <row r="684" spans="1:5" x14ac:dyDescent="0.3">
      <c r="A684" s="2">
        <v>46340</v>
      </c>
      <c r="B684">
        <v>2026</v>
      </c>
      <c r="C684">
        <v>11</v>
      </c>
      <c r="D684" s="29" t="s">
        <v>48</v>
      </c>
      <c r="E684" s="29" t="s">
        <v>47</v>
      </c>
    </row>
    <row r="685" spans="1:5" x14ac:dyDescent="0.3">
      <c r="A685" s="2">
        <v>46341</v>
      </c>
      <c r="B685">
        <v>2026</v>
      </c>
      <c r="C685">
        <v>11</v>
      </c>
      <c r="D685" s="29" t="s">
        <v>48</v>
      </c>
      <c r="E685" s="29" t="s">
        <v>47</v>
      </c>
    </row>
    <row r="686" spans="1:5" x14ac:dyDescent="0.3">
      <c r="A686" s="2">
        <v>46342</v>
      </c>
      <c r="B686">
        <v>2026</v>
      </c>
      <c r="C686">
        <v>11</v>
      </c>
      <c r="D686" s="29" t="s">
        <v>48</v>
      </c>
      <c r="E686" s="29" t="s">
        <v>47</v>
      </c>
    </row>
    <row r="687" spans="1:5" x14ac:dyDescent="0.3">
      <c r="A687" s="2">
        <v>46343</v>
      </c>
      <c r="B687">
        <v>2026</v>
      </c>
      <c r="C687">
        <v>11</v>
      </c>
      <c r="D687" s="29" t="s">
        <v>48</v>
      </c>
      <c r="E687" s="29" t="s">
        <v>47</v>
      </c>
    </row>
    <row r="688" spans="1:5" x14ac:dyDescent="0.3">
      <c r="A688" s="2">
        <v>46344</v>
      </c>
      <c r="B688">
        <v>2026</v>
      </c>
      <c r="C688">
        <v>11</v>
      </c>
      <c r="D688" s="29" t="s">
        <v>48</v>
      </c>
      <c r="E688" s="29" t="s">
        <v>47</v>
      </c>
    </row>
    <row r="689" spans="1:5" x14ac:dyDescent="0.3">
      <c r="A689" s="2">
        <v>46345</v>
      </c>
      <c r="B689">
        <v>2026</v>
      </c>
      <c r="C689">
        <v>11</v>
      </c>
      <c r="D689" s="29" t="s">
        <v>48</v>
      </c>
      <c r="E689" s="29" t="s">
        <v>47</v>
      </c>
    </row>
    <row r="690" spans="1:5" x14ac:dyDescent="0.3">
      <c r="A690" s="2">
        <v>46346</v>
      </c>
      <c r="B690">
        <v>2026</v>
      </c>
      <c r="C690">
        <v>11</v>
      </c>
      <c r="D690" s="29" t="s">
        <v>48</v>
      </c>
      <c r="E690" s="29" t="s">
        <v>47</v>
      </c>
    </row>
    <row r="691" spans="1:5" x14ac:dyDescent="0.3">
      <c r="A691" s="2">
        <v>46347</v>
      </c>
      <c r="B691">
        <v>2026</v>
      </c>
      <c r="C691">
        <v>11</v>
      </c>
      <c r="D691" s="29" t="s">
        <v>48</v>
      </c>
      <c r="E691" s="29" t="s">
        <v>47</v>
      </c>
    </row>
    <row r="692" spans="1:5" x14ac:dyDescent="0.3">
      <c r="A692" s="2">
        <v>46348</v>
      </c>
      <c r="B692">
        <v>2026</v>
      </c>
      <c r="C692">
        <v>11</v>
      </c>
      <c r="D692" s="29" t="s">
        <v>48</v>
      </c>
      <c r="E692" s="29" t="s">
        <v>47</v>
      </c>
    </row>
    <row r="693" spans="1:5" x14ac:dyDescent="0.3">
      <c r="A693" s="2">
        <v>46349</v>
      </c>
      <c r="B693">
        <v>2026</v>
      </c>
      <c r="C693">
        <v>11</v>
      </c>
      <c r="D693" s="29" t="s">
        <v>48</v>
      </c>
      <c r="E693" s="29" t="s">
        <v>47</v>
      </c>
    </row>
    <row r="694" spans="1:5" x14ac:dyDescent="0.3">
      <c r="A694" s="2">
        <v>46350</v>
      </c>
      <c r="B694">
        <v>2026</v>
      </c>
      <c r="C694">
        <v>11</v>
      </c>
      <c r="D694" s="29" t="s">
        <v>48</v>
      </c>
      <c r="E694" s="29" t="s">
        <v>47</v>
      </c>
    </row>
    <row r="695" spans="1:5" x14ac:dyDescent="0.3">
      <c r="A695" s="2">
        <v>46351</v>
      </c>
      <c r="B695">
        <v>2026</v>
      </c>
      <c r="C695">
        <v>11</v>
      </c>
      <c r="D695" s="29" t="s">
        <v>48</v>
      </c>
      <c r="E695" s="29" t="s">
        <v>47</v>
      </c>
    </row>
    <row r="696" spans="1:5" x14ac:dyDescent="0.3">
      <c r="A696" s="2">
        <v>46352</v>
      </c>
      <c r="B696">
        <v>2026</v>
      </c>
      <c r="C696">
        <v>11</v>
      </c>
      <c r="D696" s="29" t="s">
        <v>48</v>
      </c>
      <c r="E696" s="29" t="s">
        <v>47</v>
      </c>
    </row>
    <row r="697" spans="1:5" x14ac:dyDescent="0.3">
      <c r="A697" s="2">
        <v>46353</v>
      </c>
      <c r="B697">
        <v>2026</v>
      </c>
      <c r="C697">
        <v>11</v>
      </c>
      <c r="D697" s="29" t="s">
        <v>48</v>
      </c>
      <c r="E697" s="29" t="s">
        <v>47</v>
      </c>
    </row>
    <row r="698" spans="1:5" x14ac:dyDescent="0.3">
      <c r="A698" s="2">
        <v>46354</v>
      </c>
      <c r="B698">
        <v>2026</v>
      </c>
      <c r="C698">
        <v>11</v>
      </c>
      <c r="D698" s="29" t="s">
        <v>48</v>
      </c>
      <c r="E698" s="29" t="s">
        <v>47</v>
      </c>
    </row>
    <row r="699" spans="1:5" x14ac:dyDescent="0.3">
      <c r="A699" s="2">
        <v>46355</v>
      </c>
      <c r="B699">
        <v>2026</v>
      </c>
      <c r="C699">
        <v>11</v>
      </c>
      <c r="D699" s="29" t="s">
        <v>48</v>
      </c>
      <c r="E699" s="29" t="s">
        <v>47</v>
      </c>
    </row>
    <row r="700" spans="1:5" x14ac:dyDescent="0.3">
      <c r="A700" s="2">
        <v>46356</v>
      </c>
      <c r="B700">
        <v>2026</v>
      </c>
      <c r="C700">
        <v>11</v>
      </c>
      <c r="D700" s="29" t="s">
        <v>48</v>
      </c>
      <c r="E700" s="29" t="s">
        <v>47</v>
      </c>
    </row>
    <row r="701" spans="1:5" x14ac:dyDescent="0.3">
      <c r="A701" s="2">
        <v>46357</v>
      </c>
      <c r="B701">
        <v>2026</v>
      </c>
      <c r="C701">
        <v>12</v>
      </c>
      <c r="D701" s="29" t="s">
        <v>49</v>
      </c>
      <c r="E701" s="29" t="s">
        <v>47</v>
      </c>
    </row>
    <row r="702" spans="1:5" x14ac:dyDescent="0.3">
      <c r="A702" s="2">
        <v>46358</v>
      </c>
      <c r="B702">
        <v>2026</v>
      </c>
      <c r="C702">
        <v>12</v>
      </c>
      <c r="D702" s="29" t="s">
        <v>49</v>
      </c>
      <c r="E702" s="29" t="s">
        <v>47</v>
      </c>
    </row>
    <row r="703" spans="1:5" x14ac:dyDescent="0.3">
      <c r="A703" s="2">
        <v>46359</v>
      </c>
      <c r="B703">
        <v>2026</v>
      </c>
      <c r="C703">
        <v>12</v>
      </c>
      <c r="D703" s="29" t="s">
        <v>49</v>
      </c>
      <c r="E703" s="29" t="s">
        <v>47</v>
      </c>
    </row>
    <row r="704" spans="1:5" x14ac:dyDescent="0.3">
      <c r="A704" s="2">
        <v>46360</v>
      </c>
      <c r="B704">
        <v>2026</v>
      </c>
      <c r="C704">
        <v>12</v>
      </c>
      <c r="D704" s="29" t="s">
        <v>49</v>
      </c>
      <c r="E704" s="29" t="s">
        <v>47</v>
      </c>
    </row>
    <row r="705" spans="1:5" x14ac:dyDescent="0.3">
      <c r="A705" s="2">
        <v>46361</v>
      </c>
      <c r="B705">
        <v>2026</v>
      </c>
      <c r="C705">
        <v>12</v>
      </c>
      <c r="D705" s="29" t="s">
        <v>49</v>
      </c>
      <c r="E705" s="29" t="s">
        <v>47</v>
      </c>
    </row>
    <row r="706" spans="1:5" x14ac:dyDescent="0.3">
      <c r="A706" s="2">
        <v>46362</v>
      </c>
      <c r="B706">
        <v>2026</v>
      </c>
      <c r="C706">
        <v>12</v>
      </c>
      <c r="D706" s="29" t="s">
        <v>49</v>
      </c>
      <c r="E706" s="29" t="s">
        <v>47</v>
      </c>
    </row>
    <row r="707" spans="1:5" x14ac:dyDescent="0.3">
      <c r="A707" s="2">
        <v>46363</v>
      </c>
      <c r="B707">
        <v>2026</v>
      </c>
      <c r="C707">
        <v>12</v>
      </c>
      <c r="D707" s="29" t="s">
        <v>49</v>
      </c>
      <c r="E707" s="29" t="s">
        <v>47</v>
      </c>
    </row>
    <row r="708" spans="1:5" x14ac:dyDescent="0.3">
      <c r="A708" s="2">
        <v>46364</v>
      </c>
      <c r="B708">
        <v>2026</v>
      </c>
      <c r="C708">
        <v>12</v>
      </c>
      <c r="D708" s="29" t="s">
        <v>49</v>
      </c>
      <c r="E708" s="29" t="s">
        <v>47</v>
      </c>
    </row>
    <row r="709" spans="1:5" x14ac:dyDescent="0.3">
      <c r="A709" s="2">
        <v>46365</v>
      </c>
      <c r="B709">
        <v>2026</v>
      </c>
      <c r="C709">
        <v>12</v>
      </c>
      <c r="D709" s="29" t="s">
        <v>49</v>
      </c>
      <c r="E709" s="29" t="s">
        <v>47</v>
      </c>
    </row>
    <row r="710" spans="1:5" x14ac:dyDescent="0.3">
      <c r="A710" s="2">
        <v>46366</v>
      </c>
      <c r="B710">
        <v>2026</v>
      </c>
      <c r="C710">
        <v>12</v>
      </c>
      <c r="D710" s="29" t="s">
        <v>49</v>
      </c>
      <c r="E710" s="29" t="s">
        <v>47</v>
      </c>
    </row>
    <row r="711" spans="1:5" x14ac:dyDescent="0.3">
      <c r="A711" s="2">
        <v>46367</v>
      </c>
      <c r="B711">
        <v>2026</v>
      </c>
      <c r="C711">
        <v>12</v>
      </c>
      <c r="D711" s="29" t="s">
        <v>49</v>
      </c>
      <c r="E711" s="29" t="s">
        <v>47</v>
      </c>
    </row>
    <row r="712" spans="1:5" x14ac:dyDescent="0.3">
      <c r="A712" s="2">
        <v>46368</v>
      </c>
      <c r="B712">
        <v>2026</v>
      </c>
      <c r="C712">
        <v>12</v>
      </c>
      <c r="D712" s="29" t="s">
        <v>49</v>
      </c>
      <c r="E712" s="29" t="s">
        <v>47</v>
      </c>
    </row>
    <row r="713" spans="1:5" x14ac:dyDescent="0.3">
      <c r="A713" s="2">
        <v>46369</v>
      </c>
      <c r="B713">
        <v>2026</v>
      </c>
      <c r="C713">
        <v>12</v>
      </c>
      <c r="D713" s="29" t="s">
        <v>49</v>
      </c>
      <c r="E713" s="29" t="s">
        <v>47</v>
      </c>
    </row>
    <row r="714" spans="1:5" x14ac:dyDescent="0.3">
      <c r="A714" s="2">
        <v>46370</v>
      </c>
      <c r="B714">
        <v>2026</v>
      </c>
      <c r="C714">
        <v>12</v>
      </c>
      <c r="D714" s="29" t="s">
        <v>49</v>
      </c>
      <c r="E714" s="29" t="s">
        <v>47</v>
      </c>
    </row>
    <row r="715" spans="1:5" x14ac:dyDescent="0.3">
      <c r="A715" s="2">
        <v>46371</v>
      </c>
      <c r="B715">
        <v>2026</v>
      </c>
      <c r="C715">
        <v>12</v>
      </c>
      <c r="D715" s="29" t="s">
        <v>49</v>
      </c>
      <c r="E715" s="29" t="s">
        <v>47</v>
      </c>
    </row>
    <row r="716" spans="1:5" x14ac:dyDescent="0.3">
      <c r="A716" s="2">
        <v>46372</v>
      </c>
      <c r="B716">
        <v>2026</v>
      </c>
      <c r="C716">
        <v>12</v>
      </c>
      <c r="D716" s="29" t="s">
        <v>49</v>
      </c>
      <c r="E716" s="29" t="s">
        <v>47</v>
      </c>
    </row>
    <row r="717" spans="1:5" x14ac:dyDescent="0.3">
      <c r="A717" s="2">
        <v>46373</v>
      </c>
      <c r="B717">
        <v>2026</v>
      </c>
      <c r="C717">
        <v>12</v>
      </c>
      <c r="D717" s="29" t="s">
        <v>49</v>
      </c>
      <c r="E717" s="29" t="s">
        <v>47</v>
      </c>
    </row>
    <row r="718" spans="1:5" x14ac:dyDescent="0.3">
      <c r="A718" s="2">
        <v>46374</v>
      </c>
      <c r="B718">
        <v>2026</v>
      </c>
      <c r="C718">
        <v>12</v>
      </c>
      <c r="D718" s="29" t="s">
        <v>49</v>
      </c>
      <c r="E718" s="29" t="s">
        <v>47</v>
      </c>
    </row>
    <row r="719" spans="1:5" x14ac:dyDescent="0.3">
      <c r="A719" s="2">
        <v>46375</v>
      </c>
      <c r="B719">
        <v>2026</v>
      </c>
      <c r="C719">
        <v>12</v>
      </c>
      <c r="D719" s="29" t="s">
        <v>49</v>
      </c>
      <c r="E719" s="29" t="s">
        <v>47</v>
      </c>
    </row>
    <row r="720" spans="1:5" x14ac:dyDescent="0.3">
      <c r="A720" s="2">
        <v>46376</v>
      </c>
      <c r="B720">
        <v>2026</v>
      </c>
      <c r="C720">
        <v>12</v>
      </c>
      <c r="D720" s="29" t="s">
        <v>49</v>
      </c>
      <c r="E720" s="29" t="s">
        <v>47</v>
      </c>
    </row>
    <row r="721" spans="1:5" x14ac:dyDescent="0.3">
      <c r="A721" s="2">
        <v>46377</v>
      </c>
      <c r="B721">
        <v>2026</v>
      </c>
      <c r="C721">
        <v>12</v>
      </c>
      <c r="D721" s="29" t="s">
        <v>49</v>
      </c>
      <c r="E721" s="29" t="s">
        <v>47</v>
      </c>
    </row>
    <row r="722" spans="1:5" x14ac:dyDescent="0.3">
      <c r="A722" s="2">
        <v>46378</v>
      </c>
      <c r="B722">
        <v>2026</v>
      </c>
      <c r="C722">
        <v>12</v>
      </c>
      <c r="D722" s="29" t="s">
        <v>49</v>
      </c>
      <c r="E722" s="29" t="s">
        <v>47</v>
      </c>
    </row>
    <row r="723" spans="1:5" x14ac:dyDescent="0.3">
      <c r="A723" s="2">
        <v>46379</v>
      </c>
      <c r="B723">
        <v>2026</v>
      </c>
      <c r="C723">
        <v>12</v>
      </c>
      <c r="D723" s="29" t="s">
        <v>49</v>
      </c>
      <c r="E723" s="29" t="s">
        <v>47</v>
      </c>
    </row>
    <row r="724" spans="1:5" x14ac:dyDescent="0.3">
      <c r="A724" s="2">
        <v>46380</v>
      </c>
      <c r="B724">
        <v>2026</v>
      </c>
      <c r="C724">
        <v>12</v>
      </c>
      <c r="D724" s="29" t="s">
        <v>49</v>
      </c>
      <c r="E724" s="29" t="s">
        <v>47</v>
      </c>
    </row>
    <row r="725" spans="1:5" x14ac:dyDescent="0.3">
      <c r="A725" s="2">
        <v>46381</v>
      </c>
      <c r="B725">
        <v>2026</v>
      </c>
      <c r="C725">
        <v>12</v>
      </c>
      <c r="D725" s="29" t="s">
        <v>49</v>
      </c>
      <c r="E725" s="29" t="s">
        <v>47</v>
      </c>
    </row>
    <row r="726" spans="1:5" x14ac:dyDescent="0.3">
      <c r="A726" s="2">
        <v>46382</v>
      </c>
      <c r="B726">
        <v>2026</v>
      </c>
      <c r="C726">
        <v>12</v>
      </c>
      <c r="D726" s="29" t="s">
        <v>49</v>
      </c>
      <c r="E726" s="29" t="s">
        <v>47</v>
      </c>
    </row>
    <row r="727" spans="1:5" x14ac:dyDescent="0.3">
      <c r="A727" s="2">
        <v>46383</v>
      </c>
      <c r="B727">
        <v>2026</v>
      </c>
      <c r="C727">
        <v>12</v>
      </c>
      <c r="D727" s="29" t="s">
        <v>49</v>
      </c>
      <c r="E727" s="29" t="s">
        <v>47</v>
      </c>
    </row>
    <row r="728" spans="1:5" x14ac:dyDescent="0.3">
      <c r="A728" s="2">
        <v>46384</v>
      </c>
      <c r="B728">
        <v>2026</v>
      </c>
      <c r="C728">
        <v>12</v>
      </c>
      <c r="D728" s="29" t="s">
        <v>49</v>
      </c>
      <c r="E728" s="29" t="s">
        <v>47</v>
      </c>
    </row>
    <row r="729" spans="1:5" x14ac:dyDescent="0.3">
      <c r="A729" s="2">
        <v>46385</v>
      </c>
      <c r="B729">
        <v>2026</v>
      </c>
      <c r="C729">
        <v>12</v>
      </c>
      <c r="D729" s="29" t="s">
        <v>49</v>
      </c>
      <c r="E729" s="29" t="s">
        <v>47</v>
      </c>
    </row>
    <row r="730" spans="1:5" x14ac:dyDescent="0.3">
      <c r="A730" s="2">
        <v>46386</v>
      </c>
      <c r="B730">
        <v>2026</v>
      </c>
      <c r="C730">
        <v>12</v>
      </c>
      <c r="D730" s="29" t="s">
        <v>49</v>
      </c>
      <c r="E730" s="29" t="s">
        <v>47</v>
      </c>
    </row>
    <row r="731" spans="1:5" x14ac:dyDescent="0.3">
      <c r="A731" s="2">
        <v>46387</v>
      </c>
      <c r="B731">
        <v>2026</v>
      </c>
      <c r="C731">
        <v>12</v>
      </c>
      <c r="D731" s="29" t="s">
        <v>49</v>
      </c>
      <c r="E731" s="29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B8F5-B66E-42B7-BF7B-155E6E571C32}">
  <dimension ref="A1:J60"/>
  <sheetViews>
    <sheetView workbookViewId="0">
      <selection activeCell="G10" sqref="G10"/>
    </sheetView>
  </sheetViews>
  <sheetFormatPr defaultColWidth="0" defaultRowHeight="15.6" zeroHeight="1" x14ac:dyDescent="0.3"/>
  <cols>
    <col min="1" max="1" width="21.5" style="37" customWidth="1"/>
    <col min="2" max="2" width="22.8984375" style="28" customWidth="1"/>
    <col min="3" max="3" width="17.19921875" style="28" customWidth="1"/>
    <col min="4" max="4" width="21.5" style="36" customWidth="1"/>
    <col min="5" max="5" width="16.69921875" style="28" customWidth="1"/>
    <col min="6" max="8" width="8.796875" style="28" customWidth="1"/>
    <col min="9" max="16384" width="8.796875" style="28" hidden="1"/>
  </cols>
  <sheetData>
    <row r="1" spans="1:10" s="27" customFormat="1" x14ac:dyDescent="0.3">
      <c r="A1" s="22" t="s">
        <v>0</v>
      </c>
      <c r="B1" s="23" t="s">
        <v>5</v>
      </c>
      <c r="C1" s="24" t="s">
        <v>6</v>
      </c>
      <c r="D1" s="26" t="s">
        <v>27</v>
      </c>
      <c r="E1" s="24" t="s">
        <v>28</v>
      </c>
      <c r="F1" s="25"/>
      <c r="G1" s="28"/>
      <c r="H1" s="28"/>
      <c r="I1" s="26"/>
      <c r="J1" s="24"/>
    </row>
    <row r="2" spans="1:10" x14ac:dyDescent="0.3">
      <c r="A2" s="33">
        <v>45662</v>
      </c>
      <c r="B2" s="31" t="s">
        <v>23</v>
      </c>
      <c r="C2" s="31" t="s">
        <v>15</v>
      </c>
      <c r="D2" s="35">
        <v>9.75</v>
      </c>
      <c r="E2" s="31" t="s">
        <v>29</v>
      </c>
    </row>
    <row r="3" spans="1:10" x14ac:dyDescent="0.3">
      <c r="A3" s="32">
        <v>45662</v>
      </c>
      <c r="B3" s="30" t="s">
        <v>23</v>
      </c>
      <c r="C3" s="30" t="s">
        <v>10</v>
      </c>
      <c r="D3" s="34">
        <v>10</v>
      </c>
      <c r="E3" s="30" t="s">
        <v>29</v>
      </c>
    </row>
    <row r="4" spans="1:10" s="44" customFormat="1" x14ac:dyDescent="0.3">
      <c r="A4" s="38">
        <v>45713</v>
      </c>
      <c r="B4" s="39" t="s">
        <v>14</v>
      </c>
      <c r="C4" s="40" t="s">
        <v>15</v>
      </c>
      <c r="D4" s="43">
        <v>4.4800000000000004</v>
      </c>
      <c r="E4" s="40" t="s">
        <v>29</v>
      </c>
      <c r="F4" s="41"/>
      <c r="G4" s="42"/>
      <c r="H4" s="42"/>
      <c r="I4" s="43"/>
      <c r="J4" s="40"/>
    </row>
    <row r="5" spans="1:10" x14ac:dyDescent="0.3">
      <c r="A5" s="32">
        <v>45713</v>
      </c>
      <c r="B5" s="30" t="s">
        <v>19</v>
      </c>
      <c r="C5" s="30" t="s">
        <v>15</v>
      </c>
      <c r="D5" s="34">
        <v>0.75</v>
      </c>
      <c r="E5" s="30" t="s">
        <v>29</v>
      </c>
    </row>
    <row r="6" spans="1:10" x14ac:dyDescent="0.3">
      <c r="A6" s="33">
        <v>45713</v>
      </c>
      <c r="B6" s="31" t="s">
        <v>14</v>
      </c>
      <c r="C6" s="31" t="s">
        <v>10</v>
      </c>
      <c r="D6" s="35">
        <v>4.8</v>
      </c>
      <c r="E6" s="31" t="s">
        <v>29</v>
      </c>
    </row>
    <row r="7" spans="1:10" x14ac:dyDescent="0.3">
      <c r="A7" s="32">
        <v>45713</v>
      </c>
      <c r="B7" s="30" t="s">
        <v>19</v>
      </c>
      <c r="C7" s="30" t="s">
        <v>10</v>
      </c>
      <c r="D7" s="34">
        <v>0.75</v>
      </c>
      <c r="E7" s="30" t="s">
        <v>29</v>
      </c>
    </row>
    <row r="8" spans="1:10" x14ac:dyDescent="0.3">
      <c r="A8" s="33">
        <v>45742</v>
      </c>
      <c r="B8" s="31" t="s">
        <v>17</v>
      </c>
      <c r="C8" s="31" t="s">
        <v>15</v>
      </c>
      <c r="D8" s="35">
        <v>5.25</v>
      </c>
      <c r="E8" s="31" t="s">
        <v>29</v>
      </c>
    </row>
    <row r="9" spans="1:10" x14ac:dyDescent="0.3">
      <c r="A9" s="32">
        <v>45742</v>
      </c>
      <c r="B9" s="30" t="s">
        <v>17</v>
      </c>
      <c r="C9" s="30" t="s">
        <v>10</v>
      </c>
      <c r="D9" s="34">
        <v>10.19</v>
      </c>
      <c r="E9" s="30" t="s">
        <v>29</v>
      </c>
    </row>
    <row r="10" spans="1:10" x14ac:dyDescent="0.3">
      <c r="A10" s="33">
        <v>45743</v>
      </c>
      <c r="B10" s="31" t="s">
        <v>13</v>
      </c>
      <c r="C10" s="31" t="s">
        <v>15</v>
      </c>
      <c r="D10" s="35">
        <v>7.91</v>
      </c>
      <c r="E10" s="31" t="s">
        <v>29</v>
      </c>
    </row>
    <row r="11" spans="1:10" x14ac:dyDescent="0.3">
      <c r="A11" s="32">
        <v>45743</v>
      </c>
      <c r="B11" s="30" t="s">
        <v>17</v>
      </c>
      <c r="C11" s="30" t="s">
        <v>15</v>
      </c>
      <c r="D11" s="34">
        <v>4.75</v>
      </c>
      <c r="E11" s="30" t="s">
        <v>29</v>
      </c>
    </row>
    <row r="12" spans="1:10" x14ac:dyDescent="0.3">
      <c r="A12" s="33">
        <v>45743</v>
      </c>
      <c r="B12" s="31" t="s">
        <v>13</v>
      </c>
      <c r="C12" s="31" t="s">
        <v>10</v>
      </c>
      <c r="D12" s="35">
        <v>3.95</v>
      </c>
      <c r="E12" s="31" t="s">
        <v>29</v>
      </c>
    </row>
    <row r="13" spans="1:10" x14ac:dyDescent="0.3">
      <c r="A13" s="32">
        <v>45743</v>
      </c>
      <c r="B13" s="30" t="s">
        <v>17</v>
      </c>
      <c r="C13" s="30" t="s">
        <v>10</v>
      </c>
      <c r="D13" s="34">
        <v>9.2200000000000006</v>
      </c>
      <c r="E13" s="30" t="s">
        <v>29</v>
      </c>
    </row>
    <row r="14" spans="1:10" x14ac:dyDescent="0.3">
      <c r="A14" s="33">
        <v>45744</v>
      </c>
      <c r="B14" s="31" t="s">
        <v>18</v>
      </c>
      <c r="C14" s="31" t="s">
        <v>15</v>
      </c>
      <c r="D14" s="35">
        <v>5.7</v>
      </c>
      <c r="E14" s="31" t="s">
        <v>29</v>
      </c>
    </row>
    <row r="15" spans="1:10" x14ac:dyDescent="0.3">
      <c r="A15" s="32">
        <v>45744</v>
      </c>
      <c r="B15" s="30" t="s">
        <v>18</v>
      </c>
      <c r="C15" s="30" t="s">
        <v>10</v>
      </c>
      <c r="D15" s="34">
        <v>10.8</v>
      </c>
      <c r="E15" s="30" t="s">
        <v>29</v>
      </c>
    </row>
    <row r="16" spans="1:10" x14ac:dyDescent="0.3">
      <c r="A16" s="33">
        <v>45749</v>
      </c>
      <c r="B16" s="31" t="s">
        <v>12</v>
      </c>
      <c r="C16" s="31" t="s">
        <v>15</v>
      </c>
      <c r="D16" s="35">
        <v>6.79</v>
      </c>
      <c r="E16" s="31" t="s">
        <v>29</v>
      </c>
    </row>
    <row r="17" spans="1:5" x14ac:dyDescent="0.3">
      <c r="A17" s="32">
        <v>45749</v>
      </c>
      <c r="B17" s="30" t="s">
        <v>12</v>
      </c>
      <c r="C17" s="30" t="s">
        <v>10</v>
      </c>
      <c r="D17" s="34">
        <v>20.37</v>
      </c>
      <c r="E17" s="30" t="s">
        <v>29</v>
      </c>
    </row>
    <row r="18" spans="1:5" x14ac:dyDescent="0.3">
      <c r="A18" s="33">
        <v>45757</v>
      </c>
      <c r="B18" s="31" t="s">
        <v>22</v>
      </c>
      <c r="C18" s="31" t="s">
        <v>15</v>
      </c>
      <c r="D18" s="35">
        <v>5.0999999999999996</v>
      </c>
      <c r="E18" s="31" t="s">
        <v>29</v>
      </c>
    </row>
    <row r="19" spans="1:5" x14ac:dyDescent="0.3">
      <c r="A19" s="32">
        <v>45757</v>
      </c>
      <c r="B19" s="30" t="s">
        <v>22</v>
      </c>
      <c r="C19" s="30" t="s">
        <v>10</v>
      </c>
      <c r="D19" s="34">
        <v>4.8499999999999996</v>
      </c>
      <c r="E19" s="30" t="s">
        <v>29</v>
      </c>
    </row>
    <row r="20" spans="1:5" x14ac:dyDescent="0.3">
      <c r="A20" s="33">
        <v>45770</v>
      </c>
      <c r="B20" s="31" t="s">
        <v>11</v>
      </c>
      <c r="C20" s="31" t="s">
        <v>15</v>
      </c>
      <c r="D20" s="35">
        <v>4.68</v>
      </c>
      <c r="E20" s="31" t="s">
        <v>29</v>
      </c>
    </row>
    <row r="21" spans="1:5" x14ac:dyDescent="0.3">
      <c r="A21" s="32">
        <v>45770</v>
      </c>
      <c r="B21" s="30" t="s">
        <v>11</v>
      </c>
      <c r="C21" s="30" t="s">
        <v>10</v>
      </c>
      <c r="D21" s="34">
        <v>4.68</v>
      </c>
      <c r="E21" s="30" t="s">
        <v>29</v>
      </c>
    </row>
    <row r="22" spans="1:5" x14ac:dyDescent="0.3">
      <c r="A22" s="33">
        <v>45839</v>
      </c>
      <c r="B22" s="31" t="s">
        <v>16</v>
      </c>
      <c r="C22" s="31" t="s">
        <v>15</v>
      </c>
      <c r="D22" s="35">
        <v>14.94</v>
      </c>
      <c r="E22" s="31" t="s">
        <v>29</v>
      </c>
    </row>
    <row r="23" spans="1:5" x14ac:dyDescent="0.3">
      <c r="A23" s="32">
        <v>45839</v>
      </c>
      <c r="B23" s="30" t="s">
        <v>16</v>
      </c>
      <c r="C23" s="30" t="s">
        <v>10</v>
      </c>
      <c r="D23" s="34">
        <v>15.77</v>
      </c>
      <c r="E23" s="30" t="s">
        <v>29</v>
      </c>
    </row>
    <row r="24" spans="1:5" x14ac:dyDescent="0.3">
      <c r="A24" s="33">
        <v>45891</v>
      </c>
      <c r="B24" s="31" t="s">
        <v>14</v>
      </c>
      <c r="C24" s="31" t="s">
        <v>15</v>
      </c>
      <c r="D24" s="35">
        <v>18.809999999999999</v>
      </c>
      <c r="E24" s="31" t="s">
        <v>29</v>
      </c>
    </row>
    <row r="25" spans="1:5" x14ac:dyDescent="0.3">
      <c r="A25" s="32">
        <v>45891</v>
      </c>
      <c r="B25" s="30" t="s">
        <v>14</v>
      </c>
      <c r="C25" s="30" t="s">
        <v>10</v>
      </c>
      <c r="D25" s="34">
        <v>18.809999999999999</v>
      </c>
      <c r="E25" s="30" t="s">
        <v>29</v>
      </c>
    </row>
    <row r="26" spans="1:5" x14ac:dyDescent="0.3">
      <c r="A26" s="33">
        <v>45895</v>
      </c>
      <c r="B26" s="31" t="s">
        <v>19</v>
      </c>
      <c r="C26" s="31" t="s">
        <v>15</v>
      </c>
      <c r="D26" s="35">
        <v>3.3</v>
      </c>
      <c r="E26" s="31" t="s">
        <v>29</v>
      </c>
    </row>
    <row r="27" spans="1:5" x14ac:dyDescent="0.3">
      <c r="A27" s="32">
        <v>45895</v>
      </c>
      <c r="B27" s="30" t="s">
        <v>19</v>
      </c>
      <c r="C27" s="30" t="s">
        <v>10</v>
      </c>
      <c r="D27" s="34">
        <v>3.3</v>
      </c>
      <c r="E27" s="30" t="s">
        <v>29</v>
      </c>
    </row>
    <row r="28" spans="1:5" x14ac:dyDescent="0.3">
      <c r="A28" s="33">
        <v>45924</v>
      </c>
      <c r="B28" s="31" t="s">
        <v>12</v>
      </c>
      <c r="C28" s="31" t="s">
        <v>15</v>
      </c>
      <c r="D28" s="35">
        <v>26.18</v>
      </c>
      <c r="E28" s="31" t="s">
        <v>29</v>
      </c>
    </row>
    <row r="29" spans="1:5" x14ac:dyDescent="0.3">
      <c r="A29" s="32">
        <v>45924</v>
      </c>
      <c r="B29" s="30" t="s">
        <v>22</v>
      </c>
      <c r="C29" s="30" t="s">
        <v>15</v>
      </c>
      <c r="D29" s="34">
        <v>11.54</v>
      </c>
      <c r="E29" s="30" t="s">
        <v>29</v>
      </c>
    </row>
    <row r="30" spans="1:5" x14ac:dyDescent="0.3">
      <c r="A30" s="33">
        <v>45924</v>
      </c>
      <c r="B30" s="31" t="s">
        <v>17</v>
      </c>
      <c r="C30" s="31" t="s">
        <v>15</v>
      </c>
      <c r="D30" s="35">
        <v>16.91</v>
      </c>
      <c r="E30" s="31" t="s">
        <v>29</v>
      </c>
    </row>
    <row r="31" spans="1:5" x14ac:dyDescent="0.3">
      <c r="A31" s="32">
        <v>45924</v>
      </c>
      <c r="B31" s="30" t="s">
        <v>12</v>
      </c>
      <c r="C31" s="30" t="s">
        <v>10</v>
      </c>
      <c r="D31" s="34">
        <v>31.91</v>
      </c>
      <c r="E31" s="30" t="s">
        <v>29</v>
      </c>
    </row>
    <row r="32" spans="1:5" x14ac:dyDescent="0.3">
      <c r="A32" s="33">
        <v>45924</v>
      </c>
      <c r="B32" s="31" t="s">
        <v>22</v>
      </c>
      <c r="C32" s="31" t="s">
        <v>10</v>
      </c>
      <c r="D32" s="35">
        <v>8.6999999999999993</v>
      </c>
      <c r="E32" s="31" t="s">
        <v>29</v>
      </c>
    </row>
    <row r="33" spans="1:5" x14ac:dyDescent="0.3">
      <c r="A33" s="32">
        <v>45924</v>
      </c>
      <c r="B33" s="30" t="s">
        <v>17</v>
      </c>
      <c r="C33" s="30" t="s">
        <v>10</v>
      </c>
      <c r="D33" s="34">
        <v>21</v>
      </c>
      <c r="E33" s="30" t="s">
        <v>29</v>
      </c>
    </row>
    <row r="34" spans="1:5" x14ac:dyDescent="0.3">
      <c r="A34" s="33">
        <v>45925</v>
      </c>
      <c r="B34" s="31" t="s">
        <v>13</v>
      </c>
      <c r="C34" s="31" t="s">
        <v>15</v>
      </c>
      <c r="D34" s="35">
        <v>22.06</v>
      </c>
      <c r="E34" s="31" t="s">
        <v>29</v>
      </c>
    </row>
    <row r="35" spans="1:5" x14ac:dyDescent="0.3">
      <c r="A35" s="32">
        <v>45925</v>
      </c>
      <c r="B35" s="30" t="s">
        <v>11</v>
      </c>
      <c r="C35" s="30" t="s">
        <v>15</v>
      </c>
      <c r="D35" s="34">
        <v>13.5</v>
      </c>
      <c r="E35" s="30" t="s">
        <v>29</v>
      </c>
    </row>
    <row r="36" spans="1:5" x14ac:dyDescent="0.3">
      <c r="A36" s="33">
        <v>45925</v>
      </c>
      <c r="B36" s="31" t="s">
        <v>13</v>
      </c>
      <c r="C36" s="31" t="s">
        <v>10</v>
      </c>
      <c r="D36" s="35">
        <v>18.39</v>
      </c>
      <c r="E36" s="31" t="s">
        <v>29</v>
      </c>
    </row>
    <row r="37" spans="1:5" x14ac:dyDescent="0.3">
      <c r="A37" s="32">
        <v>45925</v>
      </c>
      <c r="B37" s="30" t="s">
        <v>11</v>
      </c>
      <c r="C37" s="30" t="s">
        <v>10</v>
      </c>
      <c r="D37" s="34">
        <v>10.8</v>
      </c>
      <c r="E37" s="30" t="s">
        <v>29</v>
      </c>
    </row>
    <row r="38" spans="1:5" x14ac:dyDescent="0.3">
      <c r="A38" s="33">
        <v>45926</v>
      </c>
      <c r="B38" s="31" t="s">
        <v>17</v>
      </c>
      <c r="C38" s="31" t="s">
        <v>15</v>
      </c>
      <c r="D38" s="35">
        <v>16.02</v>
      </c>
      <c r="E38" s="31" t="s">
        <v>29</v>
      </c>
    </row>
    <row r="39" spans="1:5" x14ac:dyDescent="0.3">
      <c r="A39" s="32">
        <v>45926</v>
      </c>
      <c r="B39" s="30" t="s">
        <v>17</v>
      </c>
      <c r="C39" s="30" t="s">
        <v>10</v>
      </c>
      <c r="D39" s="34">
        <v>19.89</v>
      </c>
      <c r="E39" s="30" t="s">
        <v>29</v>
      </c>
    </row>
    <row r="40" spans="1:5" x14ac:dyDescent="0.3">
      <c r="A40" s="33">
        <v>45933</v>
      </c>
      <c r="B40" s="31" t="s">
        <v>18</v>
      </c>
      <c r="C40" s="31" t="s">
        <v>15</v>
      </c>
      <c r="D40" s="35">
        <v>26.1</v>
      </c>
      <c r="E40" s="31" t="s">
        <v>29</v>
      </c>
    </row>
    <row r="41" spans="1:5" x14ac:dyDescent="0.3">
      <c r="A41" s="32">
        <v>45933</v>
      </c>
      <c r="B41" s="30" t="s">
        <v>18</v>
      </c>
      <c r="C41" s="30" t="s">
        <v>10</v>
      </c>
      <c r="D41" s="34">
        <v>26.1</v>
      </c>
      <c r="E41" s="30" t="s">
        <v>29</v>
      </c>
    </row>
    <row r="42" spans="1:5" x14ac:dyDescent="0.3">
      <c r="A42" s="33">
        <v>46010</v>
      </c>
      <c r="B42" s="31" t="s">
        <v>16</v>
      </c>
      <c r="C42" s="31" t="s">
        <v>15</v>
      </c>
      <c r="D42" s="35">
        <v>29.05</v>
      </c>
      <c r="E42" s="31" t="s">
        <v>29</v>
      </c>
    </row>
    <row r="43" spans="1:5" x14ac:dyDescent="0.3">
      <c r="A43" s="32">
        <v>46010</v>
      </c>
      <c r="B43" s="30" t="s">
        <v>16</v>
      </c>
      <c r="C43" s="30" t="s">
        <v>10</v>
      </c>
      <c r="D43" s="34">
        <v>29.05</v>
      </c>
      <c r="E43" s="30" t="s">
        <v>29</v>
      </c>
    </row>
    <row r="44" spans="1:5" x14ac:dyDescent="0.3">
      <c r="A44" s="33">
        <v>46077</v>
      </c>
      <c r="B44" s="31" t="s">
        <v>14</v>
      </c>
      <c r="C44" s="31" t="s">
        <v>15</v>
      </c>
      <c r="D44" s="35">
        <v>32.979999999999997</v>
      </c>
      <c r="E44" s="31" t="s">
        <v>29</v>
      </c>
    </row>
    <row r="45" spans="1:5" x14ac:dyDescent="0.3">
      <c r="A45" s="32">
        <v>46077</v>
      </c>
      <c r="B45" s="30" t="s">
        <v>14</v>
      </c>
      <c r="C45" s="30" t="s">
        <v>10</v>
      </c>
      <c r="D45" s="34">
        <v>33.32</v>
      </c>
      <c r="E45" s="30" t="s">
        <v>29</v>
      </c>
    </row>
    <row r="46" spans="1:5" x14ac:dyDescent="0.3">
      <c r="A46" s="33">
        <v>46078</v>
      </c>
      <c r="B46" s="31" t="s">
        <v>19</v>
      </c>
      <c r="C46" s="31" t="s">
        <v>15</v>
      </c>
      <c r="D46" s="35">
        <v>6</v>
      </c>
      <c r="E46" s="31" t="s">
        <v>29</v>
      </c>
    </row>
    <row r="47" spans="1:5" x14ac:dyDescent="0.3">
      <c r="A47" s="32">
        <v>46078</v>
      </c>
      <c r="B47" s="30" t="s">
        <v>19</v>
      </c>
      <c r="C47" s="30" t="s">
        <v>10</v>
      </c>
      <c r="D47" s="34">
        <v>5.0999999999999996</v>
      </c>
      <c r="E47" s="30" t="s">
        <v>29</v>
      </c>
    </row>
    <row r="48" spans="1:5" x14ac:dyDescent="0.3">
      <c r="A48" s="33">
        <v>46107</v>
      </c>
      <c r="B48" s="31" t="s">
        <v>13</v>
      </c>
      <c r="C48" s="31" t="s">
        <v>15</v>
      </c>
      <c r="D48" s="35">
        <v>36.35</v>
      </c>
      <c r="E48" s="31" t="s">
        <v>29</v>
      </c>
    </row>
    <row r="49" spans="1:5" x14ac:dyDescent="0.3">
      <c r="A49" s="32">
        <v>46107</v>
      </c>
      <c r="B49" s="30" t="s">
        <v>13</v>
      </c>
      <c r="C49" s="30" t="s">
        <v>10</v>
      </c>
      <c r="D49" s="34">
        <v>33.229999999999997</v>
      </c>
      <c r="E49" s="30" t="s">
        <v>29</v>
      </c>
    </row>
    <row r="50" spans="1:5" x14ac:dyDescent="0.3">
      <c r="A50" s="33">
        <v>46108</v>
      </c>
      <c r="B50" s="31" t="s">
        <v>12</v>
      </c>
      <c r="C50" s="31" t="s">
        <v>15</v>
      </c>
      <c r="D50" s="35">
        <v>45.08</v>
      </c>
      <c r="E50" s="31" t="s">
        <v>29</v>
      </c>
    </row>
    <row r="51" spans="1:5" x14ac:dyDescent="0.3">
      <c r="A51" s="32">
        <v>46108</v>
      </c>
      <c r="B51" s="30" t="s">
        <v>18</v>
      </c>
      <c r="C51" s="30" t="s">
        <v>15</v>
      </c>
      <c r="D51" s="34">
        <v>36.299999999999997</v>
      </c>
      <c r="E51" s="30" t="s">
        <v>29</v>
      </c>
    </row>
    <row r="52" spans="1:5" x14ac:dyDescent="0.3">
      <c r="A52" s="33">
        <v>46108</v>
      </c>
      <c r="B52" s="31" t="s">
        <v>12</v>
      </c>
      <c r="C52" s="31" t="s">
        <v>10</v>
      </c>
      <c r="D52" s="35">
        <v>51.76</v>
      </c>
      <c r="E52" s="31" t="s">
        <v>29</v>
      </c>
    </row>
    <row r="53" spans="1:5" x14ac:dyDescent="0.3">
      <c r="A53" s="32">
        <v>46108</v>
      </c>
      <c r="B53" s="30" t="s">
        <v>18</v>
      </c>
      <c r="C53" s="30" t="s">
        <v>10</v>
      </c>
      <c r="D53" s="34">
        <v>40.799999999999997</v>
      </c>
      <c r="E53" s="30" t="s">
        <v>29</v>
      </c>
    </row>
    <row r="54" spans="1:5" x14ac:dyDescent="0.3">
      <c r="A54" s="33">
        <v>46114</v>
      </c>
      <c r="B54" s="31" t="s">
        <v>11</v>
      </c>
      <c r="C54" s="31" t="s">
        <v>15</v>
      </c>
      <c r="D54" s="35">
        <v>21.6</v>
      </c>
      <c r="E54" s="31" t="s">
        <v>29</v>
      </c>
    </row>
    <row r="55" spans="1:5" x14ac:dyDescent="0.3">
      <c r="A55" s="32">
        <v>46114</v>
      </c>
      <c r="B55" s="30" t="s">
        <v>11</v>
      </c>
      <c r="C55" s="30" t="s">
        <v>10</v>
      </c>
      <c r="D55" s="34">
        <v>21.6</v>
      </c>
      <c r="E55" s="30" t="s">
        <v>29</v>
      </c>
    </row>
    <row r="56" spans="1:5" x14ac:dyDescent="0.3">
      <c r="A56" s="33">
        <v>46121</v>
      </c>
      <c r="B56" s="31" t="s">
        <v>22</v>
      </c>
      <c r="C56" s="31" t="s">
        <v>15</v>
      </c>
      <c r="D56" s="35">
        <v>20.25</v>
      </c>
      <c r="E56" s="31" t="s">
        <v>29</v>
      </c>
    </row>
    <row r="57" spans="1:5" x14ac:dyDescent="0.3">
      <c r="A57" s="32">
        <v>46121</v>
      </c>
      <c r="B57" s="30" t="s">
        <v>22</v>
      </c>
      <c r="C57" s="30" t="s">
        <v>10</v>
      </c>
      <c r="D57" s="34">
        <v>20.25</v>
      </c>
      <c r="E57" s="30" t="s">
        <v>29</v>
      </c>
    </row>
    <row r="58" spans="1:5" x14ac:dyDescent="0.3"/>
    <row r="59" spans="1:5" x14ac:dyDescent="0.3"/>
    <row r="60" spans="1:5" x14ac:dyDescent="0.3"/>
  </sheetData>
  <dataValidations count="2">
    <dataValidation type="list" allowBlank="1" showInputMessage="1" showErrorMessage="1" sqref="C1:C1048576" xr:uid="{F0A692DF-6E41-4064-9CE6-7CAE1C9D07D4}">
      <formula1>"Mum,Mine"</formula1>
    </dataValidation>
    <dataValidation type="list" allowBlank="1" showInputMessage="1" showErrorMessage="1" sqref="E2:E57" xr:uid="{EB636378-9003-4C6B-B65D-4C3C8F65452F}">
      <formula1>"Pending, Deployed"</formula1>
    </dataValidation>
  </dataValidations>
  <pageMargins left="0.7" right="0.7" top="0.75" bottom="0.75" header="0.3" footer="0.3"/>
  <ignoredErrors>
    <ignoredError sqref="C1" listDataValidatio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257D-7B17-4BBC-BA21-E0BFF19860B9}">
  <dimension ref="A1:N169"/>
  <sheetViews>
    <sheetView zoomScaleNormal="100" workbookViewId="0">
      <selection activeCell="C1" sqref="C1"/>
    </sheetView>
  </sheetViews>
  <sheetFormatPr defaultColWidth="0" defaultRowHeight="15.6" x14ac:dyDescent="0.3"/>
  <cols>
    <col min="1" max="1" width="10.09765625" style="2" customWidth="1"/>
    <col min="2" max="2" width="15" style="13" customWidth="1"/>
    <col min="3" max="3" width="10" bestFit="1" customWidth="1"/>
    <col min="4" max="4" width="12.3984375" customWidth="1"/>
    <col min="5" max="5" width="12.5" customWidth="1"/>
    <col min="6" max="6" width="10.19921875" style="3" bestFit="1" customWidth="1"/>
    <col min="7" max="7" width="16.09765625" style="1" bestFit="1" customWidth="1"/>
    <col min="8" max="8" width="14.09765625" style="1" bestFit="1" customWidth="1"/>
    <col min="9" max="9" width="15.296875" style="1" bestFit="1" customWidth="1"/>
    <col min="10" max="10" width="21" bestFit="1" customWidth="1"/>
    <col min="11" max="13" width="8.796875" customWidth="1"/>
    <col min="14" max="14" width="0" hidden="1" customWidth="1"/>
    <col min="15" max="16384" width="8.796875" hidden="1"/>
  </cols>
  <sheetData>
    <row r="1" spans="1:10" s="27" customFormat="1" ht="31.8" thickBot="1" x14ac:dyDescent="0.35">
      <c r="A1" s="22" t="s">
        <v>0</v>
      </c>
      <c r="B1" s="23" t="s">
        <v>5</v>
      </c>
      <c r="C1" s="24" t="s">
        <v>6</v>
      </c>
      <c r="D1" s="24" t="s">
        <v>1</v>
      </c>
      <c r="E1" s="24" t="s">
        <v>7</v>
      </c>
      <c r="F1" s="25" t="s">
        <v>2</v>
      </c>
      <c r="G1" s="26" t="s">
        <v>3</v>
      </c>
      <c r="H1" s="26" t="s">
        <v>4</v>
      </c>
      <c r="I1" s="26" t="s">
        <v>8</v>
      </c>
      <c r="J1" s="24" t="s">
        <v>9</v>
      </c>
    </row>
    <row r="2" spans="1:10" ht="16.2" thickBot="1" x14ac:dyDescent="0.35">
      <c r="A2" s="18">
        <v>45659</v>
      </c>
      <c r="B2" s="14" t="s">
        <v>12</v>
      </c>
      <c r="C2" s="4" t="s">
        <v>15</v>
      </c>
      <c r="D2" s="4" t="s">
        <v>20</v>
      </c>
      <c r="E2" s="4" t="s">
        <v>21</v>
      </c>
      <c r="F2" s="5" cm="1">
        <f t="array" ref="F2">_xlfn.XLOOKUP(A2&amp;B2,'Raw Data'!A:A &amp; 'Raw Data'!B:B, 'Raw Data'!C:C, "", 0)</f>
        <v>8</v>
      </c>
      <c r="G2" s="6" cm="1">
        <f t="array" ref="G2">_xlfn.XLOOKUP(A2&amp;B2,'Raw Data'!A:A &amp; 'Raw Data'!B:B, 'Raw Data'!D:D, "", 0)</f>
        <v>24.66</v>
      </c>
      <c r="H2" s="6">
        <f t="shared" ref="H2:H33" si="0">IF(A2="", "", F2*G2)</f>
        <v>197.28</v>
      </c>
      <c r="I2" s="6" cm="1">
        <f t="array" ref="I2">_xlfn.IFS(E2="Dividend", 0, AND(D2="Buy", E2="Fresh"), -H2, AND(D2="Sell", E2="Fresh"), H2, TRUE, "")</f>
        <v>-197.28</v>
      </c>
      <c r="J2" s="4" t="s">
        <v>26</v>
      </c>
    </row>
    <row r="3" spans="1:10" ht="16.2" thickBot="1" x14ac:dyDescent="0.35">
      <c r="A3" s="19">
        <v>45659</v>
      </c>
      <c r="B3" s="15" t="s">
        <v>13</v>
      </c>
      <c r="C3" s="7" t="s">
        <v>15</v>
      </c>
      <c r="D3" s="7" t="s">
        <v>20</v>
      </c>
      <c r="E3" s="7" t="s">
        <v>21</v>
      </c>
      <c r="F3" s="5" cm="1">
        <f t="array" ref="F3">_xlfn.XLOOKUP(A3&amp;B3,'Raw Data'!A:A &amp; 'Raw Data'!B:B, 'Raw Data'!C:C, "", 0)</f>
        <v>5</v>
      </c>
      <c r="G3" s="6" cm="1">
        <f t="array" ref="G3">_xlfn.XLOOKUP(A3&amp;B3,'Raw Data'!A:A &amp; 'Raw Data'!B:B, 'Raw Data'!D:D, "", 0)</f>
        <v>39.5</v>
      </c>
      <c r="H3" s="9">
        <f t="shared" si="0"/>
        <v>197.5</v>
      </c>
      <c r="I3" s="9" cm="1">
        <f t="array" ref="I3">_xlfn.IFS(E3="Dividend", 0, AND(D3="Buy", E3="Fresh"), -H3, AND(D3="Sell", E3="Fresh"), H3, TRUE, "")</f>
        <v>-197.5</v>
      </c>
      <c r="J3" s="4" t="s">
        <v>26</v>
      </c>
    </row>
    <row r="4" spans="1:10" ht="16.2" thickBot="1" x14ac:dyDescent="0.35">
      <c r="A4" s="20">
        <v>45659</v>
      </c>
      <c r="B4" s="16" t="s">
        <v>14</v>
      </c>
      <c r="C4" s="10" t="s">
        <v>15</v>
      </c>
      <c r="D4" s="10" t="s">
        <v>20</v>
      </c>
      <c r="E4" s="10" t="s">
        <v>21</v>
      </c>
      <c r="F4" s="5" cm="1">
        <f t="array" ref="F4">_xlfn.XLOOKUP(A4&amp;B4,'Raw Data'!A:A &amp; 'Raw Data'!B:B, 'Raw Data'!C:C, "", 0)</f>
        <v>14</v>
      </c>
      <c r="G4" s="6" cm="1">
        <f t="array" ref="G4">_xlfn.XLOOKUP(A4&amp;B4,'Raw Data'!A:A &amp; 'Raw Data'!B:B, 'Raw Data'!D:D, "", 0)</f>
        <v>13.42</v>
      </c>
      <c r="H4" s="12">
        <f t="shared" si="0"/>
        <v>187.88</v>
      </c>
      <c r="I4" s="12" cm="1">
        <f t="array" ref="I4">_xlfn.IFS(E4="Dividend", 0, AND(D4="Buy", E4="Fresh"), -H4, AND(D4="Sell", E4="Fresh"), H4, TRUE, "")</f>
        <v>-187.88</v>
      </c>
      <c r="J4" s="4" t="s">
        <v>26</v>
      </c>
    </row>
    <row r="5" spans="1:10" ht="16.2" thickBot="1" x14ac:dyDescent="0.35">
      <c r="A5" s="19">
        <v>45659</v>
      </c>
      <c r="B5" s="15" t="s">
        <v>11</v>
      </c>
      <c r="C5" s="7" t="s">
        <v>15</v>
      </c>
      <c r="D5" s="7" t="s">
        <v>20</v>
      </c>
      <c r="E5" s="7" t="s">
        <v>21</v>
      </c>
      <c r="F5" s="5" cm="1">
        <f t="array" ref="F5">_xlfn.XLOOKUP(A5&amp;B5,'Raw Data'!A:A &amp; 'Raw Data'!B:B, 'Raw Data'!C:C, "", 0)</f>
        <v>6</v>
      </c>
      <c r="G5" s="6" cm="1">
        <f t="array" ref="G5">_xlfn.XLOOKUP(A5&amp;B5,'Raw Data'!A:A &amp; 'Raw Data'!B:B, 'Raw Data'!D:D, "", 0)</f>
        <v>30.35</v>
      </c>
      <c r="H5" s="9">
        <f t="shared" si="0"/>
        <v>182.10000000000002</v>
      </c>
      <c r="I5" s="9" cm="1">
        <f t="array" ref="I5">_xlfn.IFS(E5="Dividend", 0, AND(D5="Buy", E5="Fresh"), -H5, AND(D5="Sell", E5="Fresh"), H5, TRUE, "")</f>
        <v>-182.10000000000002</v>
      </c>
      <c r="J5" s="4" t="s">
        <v>26</v>
      </c>
    </row>
    <row r="6" spans="1:10" ht="16.2" thickBot="1" x14ac:dyDescent="0.35">
      <c r="A6" s="20">
        <v>45659</v>
      </c>
      <c r="B6" s="16" t="s">
        <v>22</v>
      </c>
      <c r="C6" s="10" t="s">
        <v>15</v>
      </c>
      <c r="D6" s="10" t="s">
        <v>20</v>
      </c>
      <c r="E6" s="10" t="s">
        <v>21</v>
      </c>
      <c r="F6" s="5" cm="1">
        <f t="array" ref="F6">_xlfn.XLOOKUP(A6&amp;B6,'Raw Data'!A:A &amp; 'Raw Data'!B:B, 'Raw Data'!C:C, "", 0)</f>
        <v>33</v>
      </c>
      <c r="G6" s="6" cm="1">
        <f t="array" ref="G6">_xlfn.XLOOKUP(A6&amp;B6,'Raw Data'!A:A &amp; 'Raw Data'!B:B, 'Raw Data'!D:D, "", 0)</f>
        <v>5.94</v>
      </c>
      <c r="H6" s="12">
        <f t="shared" si="0"/>
        <v>196.02</v>
      </c>
      <c r="I6" s="12" cm="1">
        <f t="array" ref="I6">_xlfn.IFS(E6="Dividend", 0, AND(D6="Buy", E6="Fresh"), -H6, AND(D6="Sell", E6="Fresh"), H6, TRUE, "")</f>
        <v>-196.02</v>
      </c>
      <c r="J6" s="4" t="s">
        <v>26</v>
      </c>
    </row>
    <row r="7" spans="1:10" ht="16.2" thickBot="1" x14ac:dyDescent="0.35">
      <c r="A7" s="19">
        <v>45659</v>
      </c>
      <c r="B7" s="15" t="s">
        <v>16</v>
      </c>
      <c r="C7" s="7" t="s">
        <v>10</v>
      </c>
      <c r="D7" s="7" t="s">
        <v>20</v>
      </c>
      <c r="E7" s="7" t="s">
        <v>21</v>
      </c>
      <c r="F7" s="5" cm="1">
        <f t="array" ref="F7">_xlfn.XLOOKUP(A7&amp;B7,'Raw Data'!A:A &amp; 'Raw Data'!B:B, 'Raw Data'!C:C, "", 0)</f>
        <v>7</v>
      </c>
      <c r="G7" s="6" cm="1">
        <f t="array" ref="G7">_xlfn.XLOOKUP(A7&amp;B7,'Raw Data'!A:A &amp; 'Raw Data'!B:B, 'Raw Data'!D:D, "", 0)</f>
        <v>28.43</v>
      </c>
      <c r="H7" s="9">
        <f t="shared" si="0"/>
        <v>199.01</v>
      </c>
      <c r="I7" s="9" cm="1">
        <f t="array" ref="I7">_xlfn.IFS(E7="Dividend", 0, AND(D7="Buy", E7="Fresh"), -H7, AND(D7="Sell", E7="Fresh"), H7, TRUE, "")</f>
        <v>-199.01</v>
      </c>
      <c r="J7" s="4" t="s">
        <v>26</v>
      </c>
    </row>
    <row r="8" spans="1:10" ht="16.2" thickBot="1" x14ac:dyDescent="0.35">
      <c r="A8" s="20">
        <v>45659</v>
      </c>
      <c r="B8" s="16" t="s">
        <v>23</v>
      </c>
      <c r="C8" s="10" t="s">
        <v>10</v>
      </c>
      <c r="D8" s="10" t="s">
        <v>20</v>
      </c>
      <c r="E8" s="10" t="s">
        <v>21</v>
      </c>
      <c r="F8" s="5" cm="1">
        <f t="array" ref="F8">_xlfn.XLOOKUP(A8&amp;B8,'Raw Data'!A:A &amp; 'Raw Data'!B:B, 'Raw Data'!C:C, "", 0)</f>
        <v>13</v>
      </c>
      <c r="G8" s="6" cm="1">
        <f t="array" ref="G8">_xlfn.XLOOKUP(A8&amp;B8,'Raw Data'!A:A &amp; 'Raw Data'!B:B, 'Raw Data'!D:D, "", 0)</f>
        <v>14.77</v>
      </c>
      <c r="H8" s="12">
        <f t="shared" si="0"/>
        <v>192.01</v>
      </c>
      <c r="I8" s="12" cm="1">
        <f t="array" ref="I8">_xlfn.IFS(E8="Dividend", 0, AND(D8="Buy", E8="Fresh"), -H8, AND(D8="Sell", E8="Fresh"), H8, TRUE, "")</f>
        <v>-192.01</v>
      </c>
      <c r="J8" s="4" t="s">
        <v>26</v>
      </c>
    </row>
    <row r="9" spans="1:10" ht="16.2" thickBot="1" x14ac:dyDescent="0.35">
      <c r="A9" s="19">
        <v>45659</v>
      </c>
      <c r="B9" s="15" t="s">
        <v>17</v>
      </c>
      <c r="C9" s="7" t="s">
        <v>10</v>
      </c>
      <c r="D9" s="7" t="s">
        <v>20</v>
      </c>
      <c r="E9" s="7" t="s">
        <v>21</v>
      </c>
      <c r="F9" s="5" cm="1">
        <f t="array" ref="F9">_xlfn.XLOOKUP(A9&amp;B9,'Raw Data'!A:A &amp; 'Raw Data'!B:B, 'Raw Data'!C:C, "", 0)</f>
        <v>50</v>
      </c>
      <c r="G9" s="6" cm="1">
        <f t="array" ref="G9">_xlfn.XLOOKUP(A9&amp;B9,'Raw Data'!A:A &amp; 'Raw Data'!B:B, 'Raw Data'!D:D, "", 0)</f>
        <v>4</v>
      </c>
      <c r="H9" s="9">
        <f t="shared" si="0"/>
        <v>200</v>
      </c>
      <c r="I9" s="9" cm="1">
        <f t="array" ref="I9">_xlfn.IFS(E9="Dividend", 0, AND(D9="Buy", E9="Fresh"), -H9, AND(D9="Sell", E9="Fresh"), H9, TRUE, "")</f>
        <v>-200</v>
      </c>
      <c r="J9" s="4" t="s">
        <v>26</v>
      </c>
    </row>
    <row r="10" spans="1:10" ht="16.2" thickBot="1" x14ac:dyDescent="0.35">
      <c r="A10" s="20">
        <v>45659</v>
      </c>
      <c r="B10" s="16" t="s">
        <v>18</v>
      </c>
      <c r="C10" s="10" t="s">
        <v>10</v>
      </c>
      <c r="D10" s="10" t="s">
        <v>20</v>
      </c>
      <c r="E10" s="10" t="s">
        <v>21</v>
      </c>
      <c r="F10" s="5" cm="1">
        <f t="array" ref="F10">_xlfn.XLOOKUP(A10&amp;B10,'Raw Data'!A:A &amp; 'Raw Data'!B:B, 'Raw Data'!C:C, "", 0)</f>
        <v>18</v>
      </c>
      <c r="G10" s="6" cm="1">
        <f t="array" ref="G10">_xlfn.XLOOKUP(A10&amp;B10,'Raw Data'!A:A &amp; 'Raw Data'!B:B, 'Raw Data'!D:D, "", 0)</f>
        <v>10.84</v>
      </c>
      <c r="H10" s="12">
        <f t="shared" si="0"/>
        <v>195.12</v>
      </c>
      <c r="I10" s="12" cm="1">
        <f t="array" ref="I10">_xlfn.IFS(E10="Dividend", 0, AND(D10="Buy", E10="Fresh"), -H10, AND(D10="Sell", E10="Fresh"), H10, TRUE, "")</f>
        <v>-195.12</v>
      </c>
      <c r="J10" s="4" t="s">
        <v>26</v>
      </c>
    </row>
    <row r="11" spans="1:10" ht="16.2" thickBot="1" x14ac:dyDescent="0.35">
      <c r="A11" s="19">
        <v>45659</v>
      </c>
      <c r="B11" s="15" t="s">
        <v>19</v>
      </c>
      <c r="C11" s="7" t="s">
        <v>10</v>
      </c>
      <c r="D11" s="7" t="s">
        <v>20</v>
      </c>
      <c r="E11" s="7" t="s">
        <v>21</v>
      </c>
      <c r="F11" s="5" cm="1">
        <f t="array" ref="F11">_xlfn.XLOOKUP(A11&amp;B11,'Raw Data'!A:A &amp; 'Raw Data'!B:B, 'Raw Data'!C:C, "", 0)</f>
        <v>5</v>
      </c>
      <c r="G11" s="6" cm="1">
        <f t="array" ref="G11">_xlfn.XLOOKUP(A11&amp;B11,'Raw Data'!A:A &amp; 'Raw Data'!B:B, 'Raw Data'!D:D, "", 0)</f>
        <v>35.54</v>
      </c>
      <c r="H11" s="9">
        <f t="shared" si="0"/>
        <v>177.7</v>
      </c>
      <c r="I11" s="9" cm="1">
        <f t="array" ref="I11">_xlfn.IFS(E11="Dividend", 0, AND(D11="Buy", E11="Fresh"), -H11, AND(D11="Sell", E11="Fresh"), H11, TRUE, "")</f>
        <v>-177.7</v>
      </c>
      <c r="J11" s="4" t="s">
        <v>26</v>
      </c>
    </row>
    <row r="12" spans="1:10" ht="16.2" thickBot="1" x14ac:dyDescent="0.35">
      <c r="A12" s="20">
        <v>45691</v>
      </c>
      <c r="B12" s="16" t="s">
        <v>12</v>
      </c>
      <c r="C12" s="10" t="s">
        <v>10</v>
      </c>
      <c r="D12" s="10" t="s">
        <v>20</v>
      </c>
      <c r="E12" s="10" t="s">
        <v>21</v>
      </c>
      <c r="F12" s="5" cm="1">
        <f t="array" ref="F12">_xlfn.XLOOKUP(A12&amp;B12,'Raw Data'!A:A &amp; 'Raw Data'!B:B, 'Raw Data'!C:C, "", 0)</f>
        <v>8</v>
      </c>
      <c r="G12" s="6" cm="1">
        <f t="array" ref="G12">_xlfn.XLOOKUP(A12&amp;B12,'Raw Data'!A:A &amp; 'Raw Data'!B:B, 'Raw Data'!D:D, "", 0)</f>
        <v>24.42</v>
      </c>
      <c r="H12" s="12">
        <f t="shared" si="0"/>
        <v>195.36</v>
      </c>
      <c r="I12" s="12" cm="1">
        <f t="array" ref="I12">_xlfn.IFS(E12="Dividend", 0, AND(D12="Buy", E12="Fresh"), -H12, AND(D12="Sell", E12="Fresh"), H12, TRUE, "")</f>
        <v>-195.36</v>
      </c>
      <c r="J12" s="4" t="s">
        <v>26</v>
      </c>
    </row>
    <row r="13" spans="1:10" ht="16.2" thickBot="1" x14ac:dyDescent="0.35">
      <c r="A13" s="19">
        <v>45691</v>
      </c>
      <c r="B13" s="15" t="s">
        <v>13</v>
      </c>
      <c r="C13" s="7" t="s">
        <v>10</v>
      </c>
      <c r="D13" s="7" t="s">
        <v>20</v>
      </c>
      <c r="E13" s="7" t="s">
        <v>21</v>
      </c>
      <c r="F13" s="5" cm="1">
        <f t="array" ref="F13">_xlfn.XLOOKUP(A13&amp;B13,'Raw Data'!A:A &amp; 'Raw Data'!B:B, 'Raw Data'!C:C, "", 0)</f>
        <v>5</v>
      </c>
      <c r="G13" s="6" cm="1">
        <f t="array" ref="G13">_xlfn.XLOOKUP(A13&amp;B13,'Raw Data'!A:A &amp; 'Raw Data'!B:B, 'Raw Data'!D:D, "", 0)</f>
        <v>39.43</v>
      </c>
      <c r="H13" s="9">
        <f t="shared" si="0"/>
        <v>197.15</v>
      </c>
      <c r="I13" s="9" cm="1">
        <f t="array" ref="I13">_xlfn.IFS(E13="Dividend", 0, AND(D13="Buy", E13="Fresh"), -H13, AND(D13="Sell", E13="Fresh"), H13, TRUE, "")</f>
        <v>-197.15</v>
      </c>
      <c r="J13" s="4" t="s">
        <v>26</v>
      </c>
    </row>
    <row r="14" spans="1:10" ht="16.2" thickBot="1" x14ac:dyDescent="0.35">
      <c r="A14" s="20">
        <v>45691</v>
      </c>
      <c r="B14" s="16" t="s">
        <v>14</v>
      </c>
      <c r="C14" s="10" t="s">
        <v>10</v>
      </c>
      <c r="D14" s="10" t="s">
        <v>20</v>
      </c>
      <c r="E14" s="10" t="s">
        <v>21</v>
      </c>
      <c r="F14" s="5" cm="1">
        <f t="array" ref="F14">_xlfn.XLOOKUP(A14&amp;B14,'Raw Data'!A:A &amp; 'Raw Data'!B:B, 'Raw Data'!C:C, "", 0)</f>
        <v>15</v>
      </c>
      <c r="G14" s="6" cm="1">
        <f t="array" ref="G14">_xlfn.XLOOKUP(A14&amp;B14,'Raw Data'!A:A &amp; 'Raw Data'!B:B, 'Raw Data'!D:D, "", 0)</f>
        <v>13.23</v>
      </c>
      <c r="H14" s="12">
        <f t="shared" si="0"/>
        <v>198.45000000000002</v>
      </c>
      <c r="I14" s="12" cm="1">
        <f t="array" ref="I14">_xlfn.IFS(E14="Dividend", 0, AND(D14="Buy", E14="Fresh"), -H14, AND(D14="Sell", E14="Fresh"), H14, TRUE, "")</f>
        <v>-198.45000000000002</v>
      </c>
      <c r="J14" s="4" t="s">
        <v>26</v>
      </c>
    </row>
    <row r="15" spans="1:10" ht="16.2" thickBot="1" x14ac:dyDescent="0.35">
      <c r="A15" s="19">
        <v>45691</v>
      </c>
      <c r="B15" s="15" t="s">
        <v>11</v>
      </c>
      <c r="C15" s="7" t="s">
        <v>10</v>
      </c>
      <c r="D15" s="7" t="s">
        <v>20</v>
      </c>
      <c r="E15" s="7" t="s">
        <v>21</v>
      </c>
      <c r="F15" s="5" cm="1">
        <f t="array" ref="F15">_xlfn.XLOOKUP(A15&amp;B15,'Raw Data'!A:A &amp; 'Raw Data'!B:B, 'Raw Data'!C:C, "", 0)</f>
        <v>6</v>
      </c>
      <c r="G15" s="6" cm="1">
        <f t="array" ref="G15">_xlfn.XLOOKUP(A15&amp;B15,'Raw Data'!A:A &amp; 'Raw Data'!B:B, 'Raw Data'!D:D, "", 0)</f>
        <v>30.1</v>
      </c>
      <c r="H15" s="9">
        <f t="shared" si="0"/>
        <v>180.60000000000002</v>
      </c>
      <c r="I15" s="9" cm="1">
        <f t="array" ref="I15">_xlfn.IFS(E15="Dividend", 0, AND(D15="Buy", E15="Fresh"), -H15, AND(D15="Sell", E15="Fresh"), H15, TRUE, "")</f>
        <v>-180.60000000000002</v>
      </c>
      <c r="J15" s="4" t="s">
        <v>26</v>
      </c>
    </row>
    <row r="16" spans="1:10" ht="16.2" thickBot="1" x14ac:dyDescent="0.35">
      <c r="A16" s="20">
        <v>45691</v>
      </c>
      <c r="B16" s="16" t="s">
        <v>22</v>
      </c>
      <c r="C16" s="10" t="s">
        <v>10</v>
      </c>
      <c r="D16" s="10" t="s">
        <v>20</v>
      </c>
      <c r="E16" s="10" t="s">
        <v>21</v>
      </c>
      <c r="F16" s="5" cm="1">
        <f t="array" ref="F16">_xlfn.XLOOKUP(A16&amp;B16,'Raw Data'!A:A &amp; 'Raw Data'!B:B, 'Raw Data'!C:C, "", 0)</f>
        <v>31</v>
      </c>
      <c r="G16" s="6" cm="1">
        <f t="array" ref="G16">_xlfn.XLOOKUP(A16&amp;B16,'Raw Data'!A:A &amp; 'Raw Data'!B:B, 'Raw Data'!D:D, "", 0)</f>
        <v>6.4</v>
      </c>
      <c r="H16" s="12">
        <f t="shared" si="0"/>
        <v>198.4</v>
      </c>
      <c r="I16" s="12" cm="1">
        <f t="array" ref="I16">_xlfn.IFS(E16="Dividend", 0, AND(D16="Buy", E16="Fresh"), -H16, AND(D16="Sell", E16="Fresh"), H16, TRUE, "")</f>
        <v>-198.4</v>
      </c>
      <c r="J16" s="4" t="s">
        <v>26</v>
      </c>
    </row>
    <row r="17" spans="1:10" ht="16.2" thickBot="1" x14ac:dyDescent="0.35">
      <c r="A17" s="19">
        <v>45691</v>
      </c>
      <c r="B17" s="15" t="s">
        <v>16</v>
      </c>
      <c r="C17" s="7" t="s">
        <v>15</v>
      </c>
      <c r="D17" s="7" t="s">
        <v>20</v>
      </c>
      <c r="E17" s="7" t="s">
        <v>21</v>
      </c>
      <c r="F17" s="5" cm="1">
        <f t="array" ref="F17">_xlfn.XLOOKUP(A17&amp;B17,'Raw Data'!A:A &amp; 'Raw Data'!B:B, 'Raw Data'!C:C, "", 0)</f>
        <v>6</v>
      </c>
      <c r="G17" s="6" cm="1">
        <f t="array" ref="G17">_xlfn.XLOOKUP(A17&amp;B17,'Raw Data'!A:A &amp; 'Raw Data'!B:B, 'Raw Data'!D:D, "", 0)</f>
        <v>30.2</v>
      </c>
      <c r="H17" s="9">
        <f t="shared" si="0"/>
        <v>181.2</v>
      </c>
      <c r="I17" s="9" cm="1">
        <f t="array" ref="I17">_xlfn.IFS(E17="Dividend", 0, AND(D17="Buy", E17="Fresh"), -H17, AND(D17="Sell", E17="Fresh"), H17, TRUE, "")</f>
        <v>-181.2</v>
      </c>
      <c r="J17" s="4" t="s">
        <v>26</v>
      </c>
    </row>
    <row r="18" spans="1:10" ht="16.2" thickBot="1" x14ac:dyDescent="0.35">
      <c r="A18" s="20">
        <v>45691</v>
      </c>
      <c r="B18" s="16" t="s">
        <v>23</v>
      </c>
      <c r="C18" s="10" t="s">
        <v>15</v>
      </c>
      <c r="D18" s="10" t="s">
        <v>20</v>
      </c>
      <c r="E18" s="10" t="s">
        <v>21</v>
      </c>
      <c r="F18" s="5" cm="1">
        <f t="array" ref="F18">_xlfn.XLOOKUP(A18&amp;B18,'Raw Data'!A:A &amp; 'Raw Data'!B:B, 'Raw Data'!C:C, "", 0)</f>
        <v>13</v>
      </c>
      <c r="G18" s="6" cm="1">
        <f t="array" ref="G18">_xlfn.XLOOKUP(A18&amp;B18,'Raw Data'!A:A &amp; 'Raw Data'!B:B, 'Raw Data'!D:D, "", 0)</f>
        <v>14.52</v>
      </c>
      <c r="H18" s="12">
        <f t="shared" si="0"/>
        <v>188.76</v>
      </c>
      <c r="I18" s="12" cm="1">
        <f t="array" ref="I18">_xlfn.IFS(E18="Dividend", 0, AND(D18="Buy", E18="Fresh"), -H18, AND(D18="Sell", E18="Fresh"), H18, TRUE, "")</f>
        <v>-188.76</v>
      </c>
      <c r="J18" s="4" t="s">
        <v>26</v>
      </c>
    </row>
    <row r="19" spans="1:10" ht="16.2" thickBot="1" x14ac:dyDescent="0.35">
      <c r="A19" s="19">
        <v>45691</v>
      </c>
      <c r="B19" s="15" t="s">
        <v>17</v>
      </c>
      <c r="C19" s="7" t="s">
        <v>15</v>
      </c>
      <c r="D19" s="7" t="s">
        <v>20</v>
      </c>
      <c r="E19" s="7" t="s">
        <v>21</v>
      </c>
      <c r="F19" s="5" cm="1">
        <f t="array" ref="F19">_xlfn.XLOOKUP(A19&amp;B19,'Raw Data'!A:A &amp; 'Raw Data'!B:B, 'Raw Data'!C:C, "", 0)</f>
        <v>50</v>
      </c>
      <c r="G19" s="6" cm="1">
        <f t="array" ref="G19">_xlfn.XLOOKUP(A19&amp;B19,'Raw Data'!A:A &amp; 'Raw Data'!B:B, 'Raw Data'!D:D, "", 0)</f>
        <v>3.93</v>
      </c>
      <c r="H19" s="9">
        <f t="shared" si="0"/>
        <v>196.5</v>
      </c>
      <c r="I19" s="9" cm="1">
        <f t="array" ref="I19">_xlfn.IFS(E19="Dividend", 0, AND(D19="Buy", E19="Fresh"), -H19, AND(D19="Sell", E19="Fresh"), H19, TRUE, "")</f>
        <v>-196.5</v>
      </c>
      <c r="J19" s="4" t="s">
        <v>26</v>
      </c>
    </row>
    <row r="20" spans="1:10" ht="16.2" thickBot="1" x14ac:dyDescent="0.35">
      <c r="A20" s="20">
        <v>45691</v>
      </c>
      <c r="B20" s="16" t="s">
        <v>18</v>
      </c>
      <c r="C20" s="10" t="s">
        <v>15</v>
      </c>
      <c r="D20" s="10" t="s">
        <v>20</v>
      </c>
      <c r="E20" s="10" t="s">
        <v>21</v>
      </c>
      <c r="F20" s="5" cm="1">
        <f t="array" ref="F20">_xlfn.XLOOKUP(A20&amp;B20,'Raw Data'!A:A &amp; 'Raw Data'!B:B, 'Raw Data'!C:C, "", 0)</f>
        <v>19</v>
      </c>
      <c r="G20" s="6" cm="1">
        <f t="array" ref="G20">_xlfn.XLOOKUP(A20&amp;B20,'Raw Data'!A:A &amp; 'Raw Data'!B:B, 'Raw Data'!D:D, "", 0)</f>
        <v>10.199999999999999</v>
      </c>
      <c r="H20" s="12">
        <f t="shared" si="0"/>
        <v>193.79999999999998</v>
      </c>
      <c r="I20" s="12" cm="1">
        <f t="array" ref="I20">_xlfn.IFS(E20="Dividend", 0, AND(D20="Buy", E20="Fresh"), -H20, AND(D20="Sell", E20="Fresh"), H20, TRUE, "")</f>
        <v>-193.79999999999998</v>
      </c>
      <c r="J20" s="4" t="s">
        <v>26</v>
      </c>
    </row>
    <row r="21" spans="1:10" ht="16.2" thickBot="1" x14ac:dyDescent="0.35">
      <c r="A21" s="19">
        <v>45691</v>
      </c>
      <c r="B21" s="15" t="s">
        <v>19</v>
      </c>
      <c r="C21" s="7" t="s">
        <v>15</v>
      </c>
      <c r="D21" s="7" t="s">
        <v>20</v>
      </c>
      <c r="E21" s="7" t="s">
        <v>21</v>
      </c>
      <c r="F21" s="5" cm="1">
        <f t="array" ref="F21">_xlfn.XLOOKUP(A21&amp;B21,'Raw Data'!A:A &amp; 'Raw Data'!B:B, 'Raw Data'!C:C, "", 0)</f>
        <v>5</v>
      </c>
      <c r="G21" s="6" cm="1">
        <f t="array" ref="G21">_xlfn.XLOOKUP(A21&amp;B21,'Raw Data'!A:A &amp; 'Raw Data'!B:B, 'Raw Data'!D:D, "", 0)</f>
        <v>35.06</v>
      </c>
      <c r="H21" s="9">
        <f t="shared" si="0"/>
        <v>175.3</v>
      </c>
      <c r="I21" s="9" cm="1">
        <f t="array" ref="I21">_xlfn.IFS(E21="Dividend", 0, AND(D21="Buy", E21="Fresh"), -H21, AND(D21="Sell", E21="Fresh"), H21, TRUE, "")</f>
        <v>-175.3</v>
      </c>
      <c r="J21" s="4" t="s">
        <v>26</v>
      </c>
    </row>
    <row r="22" spans="1:10" ht="16.2" thickBot="1" x14ac:dyDescent="0.35">
      <c r="A22" s="20">
        <v>45719</v>
      </c>
      <c r="B22" s="16" t="s">
        <v>12</v>
      </c>
      <c r="C22" s="10" t="s">
        <v>15</v>
      </c>
      <c r="D22" s="10" t="s">
        <v>20</v>
      </c>
      <c r="E22" s="10" t="s">
        <v>21</v>
      </c>
      <c r="F22" s="5" cm="1">
        <f t="array" ref="F22">_xlfn.XLOOKUP(A22&amp;B22,'Raw Data'!A:A &amp; 'Raw Data'!B:B, 'Raw Data'!C:C, "", 0)</f>
        <v>8</v>
      </c>
      <c r="G22" s="6" cm="1">
        <f t="array" ref="G22">_xlfn.XLOOKUP(A22&amp;B22,'Raw Data'!A:A &amp; 'Raw Data'!B:B, 'Raw Data'!D:D, "", 0)</f>
        <v>24.81</v>
      </c>
      <c r="H22" s="12">
        <f t="shared" si="0"/>
        <v>198.48</v>
      </c>
      <c r="I22" s="12" cm="1">
        <f t="array" ref="I22">_xlfn.IFS(E22="Dividend", 0, AND(D22="Buy", E22="Fresh"), -H22, AND(D22="Sell", E22="Fresh"), H22, TRUE, "")</f>
        <v>-198.48</v>
      </c>
      <c r="J22" s="4" t="s">
        <v>26</v>
      </c>
    </row>
    <row r="23" spans="1:10" ht="16.2" thickBot="1" x14ac:dyDescent="0.35">
      <c r="A23" s="19">
        <v>45719</v>
      </c>
      <c r="B23" s="15" t="s">
        <v>13</v>
      </c>
      <c r="C23" s="7" t="s">
        <v>15</v>
      </c>
      <c r="D23" s="7" t="s">
        <v>20</v>
      </c>
      <c r="E23" s="7" t="s">
        <v>21</v>
      </c>
      <c r="F23" s="5" cm="1">
        <f t="array" ref="F23">_xlfn.XLOOKUP(A23&amp;B23,'Raw Data'!A:A &amp; 'Raw Data'!B:B, 'Raw Data'!C:C, "", 0)</f>
        <v>5</v>
      </c>
      <c r="G23" s="6" cm="1">
        <f t="array" ref="G23">_xlfn.XLOOKUP(A23&amp;B23,'Raw Data'!A:A &amp; 'Raw Data'!B:B, 'Raw Data'!D:D, "", 0)</f>
        <v>38.93</v>
      </c>
      <c r="H23" s="9">
        <f t="shared" si="0"/>
        <v>194.65</v>
      </c>
      <c r="I23" s="9" cm="1">
        <f t="array" ref="I23">_xlfn.IFS(E23="Dividend", 0, AND(D23="Buy", E23="Fresh"), -H23, AND(D23="Sell", E23="Fresh"), H23, TRUE, "")</f>
        <v>-194.65</v>
      </c>
      <c r="J23" s="4" t="s">
        <v>26</v>
      </c>
    </row>
    <row r="24" spans="1:10" ht="16.2" thickBot="1" x14ac:dyDescent="0.35">
      <c r="A24" s="20">
        <v>45719</v>
      </c>
      <c r="B24" s="16" t="s">
        <v>14</v>
      </c>
      <c r="C24" s="10" t="s">
        <v>15</v>
      </c>
      <c r="D24" s="10" t="s">
        <v>20</v>
      </c>
      <c r="E24" s="10" t="s">
        <v>21</v>
      </c>
      <c r="F24" s="5" cm="1">
        <f t="array" ref="F24">_xlfn.XLOOKUP(A24&amp;B24,'Raw Data'!A:A &amp; 'Raw Data'!B:B, 'Raw Data'!C:C, "", 0)</f>
        <v>15</v>
      </c>
      <c r="G24" s="6" cm="1">
        <f t="array" ref="G24">_xlfn.XLOOKUP(A24&amp;B24,'Raw Data'!A:A &amp; 'Raw Data'!B:B, 'Raw Data'!D:D, "", 0)</f>
        <v>13.17</v>
      </c>
      <c r="H24" s="12">
        <f t="shared" si="0"/>
        <v>197.55</v>
      </c>
      <c r="I24" s="12" cm="1">
        <f t="array" ref="I24">_xlfn.IFS(E24="Dividend", 0, AND(D24="Buy", E24="Fresh"), -H24, AND(D24="Sell", E24="Fresh"), H24, TRUE, "")</f>
        <v>-197.55</v>
      </c>
      <c r="J24" s="4" t="s">
        <v>26</v>
      </c>
    </row>
    <row r="25" spans="1:10" ht="16.2" thickBot="1" x14ac:dyDescent="0.35">
      <c r="A25" s="19">
        <v>45719</v>
      </c>
      <c r="B25" s="15" t="s">
        <v>11</v>
      </c>
      <c r="C25" s="7" t="s">
        <v>15</v>
      </c>
      <c r="D25" s="7" t="s">
        <v>20</v>
      </c>
      <c r="E25" s="7" t="s">
        <v>21</v>
      </c>
      <c r="F25" s="5" cm="1">
        <f t="array" ref="F25">_xlfn.XLOOKUP(A25&amp;B25,'Raw Data'!A:A &amp; 'Raw Data'!B:B, 'Raw Data'!C:C, "", 0)</f>
        <v>6</v>
      </c>
      <c r="G25" s="6" cm="1">
        <f t="array" ref="G25">_xlfn.XLOOKUP(A25&amp;B25,'Raw Data'!A:A &amp; 'Raw Data'!B:B, 'Raw Data'!D:D, "", 0)</f>
        <v>30.09</v>
      </c>
      <c r="H25" s="9">
        <f t="shared" si="0"/>
        <v>180.54</v>
      </c>
      <c r="I25" s="9" cm="1">
        <f t="array" ref="I25">_xlfn.IFS(E25="Dividend", 0, AND(D25="Buy", E25="Fresh"), -H25, AND(D25="Sell", E25="Fresh"), H25, TRUE, "")</f>
        <v>-180.54</v>
      </c>
      <c r="J25" s="4" t="s">
        <v>26</v>
      </c>
    </row>
    <row r="26" spans="1:10" ht="16.2" thickBot="1" x14ac:dyDescent="0.35">
      <c r="A26" s="20">
        <v>45719</v>
      </c>
      <c r="B26" s="16" t="s">
        <v>22</v>
      </c>
      <c r="C26" s="10" t="s">
        <v>15</v>
      </c>
      <c r="D26" s="10" t="s">
        <v>20</v>
      </c>
      <c r="E26" s="10" t="s">
        <v>21</v>
      </c>
      <c r="F26" s="5" cm="1">
        <f t="array" ref="F26">_xlfn.XLOOKUP(A26&amp;B26,'Raw Data'!A:A &amp; 'Raw Data'!B:B, 'Raw Data'!C:C, "", 0)</f>
        <v>30</v>
      </c>
      <c r="G26" s="6" cm="1">
        <f t="array" ref="G26">_xlfn.XLOOKUP(A26&amp;B26,'Raw Data'!A:A &amp; 'Raw Data'!B:B, 'Raw Data'!D:D, "", 0)</f>
        <v>6.59</v>
      </c>
      <c r="H26" s="12">
        <f t="shared" si="0"/>
        <v>197.7</v>
      </c>
      <c r="I26" s="12" cm="1">
        <f t="array" ref="I26">_xlfn.IFS(E26="Dividend", 0, AND(D26="Buy", E26="Fresh"), -H26, AND(D26="Sell", E26="Fresh"), H26, TRUE, "")</f>
        <v>-197.7</v>
      </c>
      <c r="J26" s="4" t="s">
        <v>26</v>
      </c>
    </row>
    <row r="27" spans="1:10" ht="16.2" thickBot="1" x14ac:dyDescent="0.35">
      <c r="A27" s="19">
        <v>45719</v>
      </c>
      <c r="B27" s="15" t="s">
        <v>16</v>
      </c>
      <c r="C27" s="7" t="s">
        <v>10</v>
      </c>
      <c r="D27" s="7" t="s">
        <v>20</v>
      </c>
      <c r="E27" s="7" t="s">
        <v>21</v>
      </c>
      <c r="F27" s="5" cm="1">
        <f t="array" ref="F27">_xlfn.XLOOKUP(A27&amp;B27,'Raw Data'!A:A &amp; 'Raw Data'!B:B, 'Raw Data'!C:C, "", 0)</f>
        <v>6</v>
      </c>
      <c r="G27" s="6" cm="1">
        <f t="array" ref="G27">_xlfn.XLOOKUP(A27&amp;B27,'Raw Data'!A:A &amp; 'Raw Data'!B:B, 'Raw Data'!D:D, "", 0)</f>
        <v>30</v>
      </c>
      <c r="H27" s="9">
        <f t="shared" si="0"/>
        <v>180</v>
      </c>
      <c r="I27" s="9" cm="1">
        <f t="array" ref="I27">_xlfn.IFS(E27="Dividend", 0, AND(D27="Buy", E27="Fresh"), -H27, AND(D27="Sell", E27="Fresh"), H27, TRUE, "")</f>
        <v>-180</v>
      </c>
      <c r="J27" s="4" t="s">
        <v>26</v>
      </c>
    </row>
    <row r="28" spans="1:10" ht="16.2" thickBot="1" x14ac:dyDescent="0.35">
      <c r="A28" s="20">
        <v>45719</v>
      </c>
      <c r="B28" s="16" t="s">
        <v>23</v>
      </c>
      <c r="C28" s="10" t="s">
        <v>10</v>
      </c>
      <c r="D28" s="10" t="s">
        <v>20</v>
      </c>
      <c r="E28" s="10" t="s">
        <v>21</v>
      </c>
      <c r="F28" s="5" cm="1">
        <f t="array" ref="F28">_xlfn.XLOOKUP(A28&amp;B28,'Raw Data'!A:A &amp; 'Raw Data'!B:B, 'Raw Data'!C:C, "", 0)</f>
        <v>15</v>
      </c>
      <c r="G28" s="6" cm="1">
        <f t="array" ref="G28">_xlfn.XLOOKUP(A28&amp;B28,'Raw Data'!A:A &amp; 'Raw Data'!B:B, 'Raw Data'!D:D, "", 0)</f>
        <v>13.15</v>
      </c>
      <c r="H28" s="12">
        <f t="shared" si="0"/>
        <v>197.25</v>
      </c>
      <c r="I28" s="12" cm="1">
        <f t="array" ref="I28">_xlfn.IFS(E28="Dividend", 0, AND(D28="Buy", E28="Fresh"), -H28, AND(D28="Sell", E28="Fresh"), H28, TRUE, "")</f>
        <v>-197.25</v>
      </c>
      <c r="J28" s="4" t="s">
        <v>26</v>
      </c>
    </row>
    <row r="29" spans="1:10" ht="16.2" thickBot="1" x14ac:dyDescent="0.35">
      <c r="A29" s="19">
        <v>45719</v>
      </c>
      <c r="B29" s="15" t="s">
        <v>17</v>
      </c>
      <c r="C29" s="7" t="s">
        <v>10</v>
      </c>
      <c r="D29" s="7" t="s">
        <v>20</v>
      </c>
      <c r="E29" s="7" t="s">
        <v>21</v>
      </c>
      <c r="F29" s="5" cm="1">
        <f t="array" ref="F29">_xlfn.XLOOKUP(A29&amp;B29,'Raw Data'!A:A &amp; 'Raw Data'!B:B, 'Raw Data'!C:C, "", 0)</f>
        <v>47</v>
      </c>
      <c r="G29" s="6" cm="1">
        <f t="array" ref="G29">_xlfn.XLOOKUP(A29&amp;B29,'Raw Data'!A:A &amp; 'Raw Data'!B:B, 'Raw Data'!D:D, "", 0)</f>
        <v>4.17</v>
      </c>
      <c r="H29" s="9">
        <f t="shared" si="0"/>
        <v>195.99</v>
      </c>
      <c r="I29" s="9" cm="1">
        <f t="array" ref="I29">_xlfn.IFS(E29="Dividend", 0, AND(D29="Buy", E29="Fresh"), -H29, AND(D29="Sell", E29="Fresh"), H29, TRUE, "")</f>
        <v>-195.99</v>
      </c>
      <c r="J29" s="4" t="s">
        <v>26</v>
      </c>
    </row>
    <row r="30" spans="1:10" ht="16.2" thickBot="1" x14ac:dyDescent="0.35">
      <c r="A30" s="20">
        <v>45719</v>
      </c>
      <c r="B30" s="16" t="s">
        <v>18</v>
      </c>
      <c r="C30" s="10" t="s">
        <v>10</v>
      </c>
      <c r="D30" s="10" t="s">
        <v>20</v>
      </c>
      <c r="E30" s="10" t="s">
        <v>21</v>
      </c>
      <c r="F30" s="5" cm="1">
        <f t="array" ref="F30">_xlfn.XLOOKUP(A30&amp;B30,'Raw Data'!A:A &amp; 'Raw Data'!B:B, 'Raw Data'!C:C, "", 0)</f>
        <v>18</v>
      </c>
      <c r="G30" s="6" cm="1">
        <f t="array" ref="G30">_xlfn.XLOOKUP(A30&amp;B30,'Raw Data'!A:A &amp; 'Raw Data'!B:B, 'Raw Data'!D:D, "", 0)</f>
        <v>11.01</v>
      </c>
      <c r="H30" s="12">
        <f t="shared" si="0"/>
        <v>198.18</v>
      </c>
      <c r="I30" s="12" cm="1">
        <f t="array" ref="I30">_xlfn.IFS(E30="Dividend", 0, AND(D30="Buy", E30="Fresh"), -H30, AND(D30="Sell", E30="Fresh"), H30, TRUE, "")</f>
        <v>-198.18</v>
      </c>
      <c r="J30" s="4" t="s">
        <v>26</v>
      </c>
    </row>
    <row r="31" spans="1:10" ht="16.2" thickBot="1" x14ac:dyDescent="0.35">
      <c r="A31" s="19">
        <v>45719</v>
      </c>
      <c r="B31" s="15" t="s">
        <v>19</v>
      </c>
      <c r="C31" s="7" t="s">
        <v>10</v>
      </c>
      <c r="D31" s="7" t="s">
        <v>20</v>
      </c>
      <c r="E31" s="7" t="s">
        <v>21</v>
      </c>
      <c r="F31" s="5" cm="1">
        <f t="array" ref="F31">_xlfn.XLOOKUP(A31&amp;B31,'Raw Data'!A:A &amp; 'Raw Data'!B:B, 'Raw Data'!C:C, "", 0)</f>
        <v>6</v>
      </c>
      <c r="G31" s="6" cm="1">
        <f t="array" ref="G31">_xlfn.XLOOKUP(A31&amp;B31,'Raw Data'!A:A &amp; 'Raw Data'!B:B, 'Raw Data'!D:D, "", 0)</f>
        <v>31.98</v>
      </c>
      <c r="H31" s="9">
        <f t="shared" si="0"/>
        <v>191.88</v>
      </c>
      <c r="I31" s="9" cm="1">
        <f t="array" ref="I31">_xlfn.IFS(E31="Dividend", 0, AND(D31="Buy", E31="Fresh"), -H31, AND(D31="Sell", E31="Fresh"), H31, TRUE, "")</f>
        <v>-191.88</v>
      </c>
      <c r="J31" s="4" t="s">
        <v>26</v>
      </c>
    </row>
    <row r="32" spans="1:10" ht="16.2" thickBot="1" x14ac:dyDescent="0.35">
      <c r="A32" s="20">
        <v>45748</v>
      </c>
      <c r="B32" s="16" t="s">
        <v>12</v>
      </c>
      <c r="C32" s="10" t="s">
        <v>10</v>
      </c>
      <c r="D32" s="10" t="s">
        <v>20</v>
      </c>
      <c r="E32" s="10" t="s">
        <v>21</v>
      </c>
      <c r="F32" s="5" cm="1">
        <f t="array" ref="F32">_xlfn.XLOOKUP(A32&amp;B32,'Raw Data'!A:A &amp; 'Raw Data'!B:B, 'Raw Data'!C:C, "", 0)</f>
        <v>8</v>
      </c>
      <c r="G32" s="6" cm="1">
        <f t="array" ref="G32">_xlfn.XLOOKUP(A32&amp;B32,'Raw Data'!A:A &amp; 'Raw Data'!B:B, 'Raw Data'!D:D, "", 0)</f>
        <v>23.33</v>
      </c>
      <c r="H32" s="12">
        <f t="shared" si="0"/>
        <v>186.64</v>
      </c>
      <c r="I32" s="12" cm="1">
        <f t="array" ref="I32">_xlfn.IFS(E32="Dividend", 0, AND(D32="Buy", E32="Fresh"), -H32, AND(D32="Sell", E32="Fresh"), H32, TRUE, "")</f>
        <v>-186.64</v>
      </c>
      <c r="J32" s="4" t="s">
        <v>26</v>
      </c>
    </row>
    <row r="33" spans="1:10" ht="16.2" thickBot="1" x14ac:dyDescent="0.35">
      <c r="A33" s="19">
        <v>45748</v>
      </c>
      <c r="B33" s="15" t="s">
        <v>13</v>
      </c>
      <c r="C33" s="7" t="s">
        <v>10</v>
      </c>
      <c r="D33" s="7" t="s">
        <v>20</v>
      </c>
      <c r="E33" s="7" t="s">
        <v>21</v>
      </c>
      <c r="F33" s="5" cm="1">
        <f t="array" ref="F33">_xlfn.XLOOKUP(A33&amp;B33,'Raw Data'!A:A &amp; 'Raw Data'!B:B, 'Raw Data'!C:C, "", 0)</f>
        <v>5</v>
      </c>
      <c r="G33" s="6" cm="1">
        <f t="array" ref="G33">_xlfn.XLOOKUP(A33&amp;B33,'Raw Data'!A:A &amp; 'Raw Data'!B:B, 'Raw Data'!D:D, "", 0)</f>
        <v>38.729999999999997</v>
      </c>
      <c r="H33" s="9">
        <f t="shared" si="0"/>
        <v>193.64999999999998</v>
      </c>
      <c r="I33" s="9" cm="1">
        <f t="array" ref="I33">_xlfn.IFS(E33="Dividend", 0, AND(D33="Buy", E33="Fresh"), -H33, AND(D33="Sell", E33="Fresh"), H33, TRUE, "")</f>
        <v>-193.64999999999998</v>
      </c>
      <c r="J33" s="4" t="s">
        <v>26</v>
      </c>
    </row>
    <row r="34" spans="1:10" ht="16.2" thickBot="1" x14ac:dyDescent="0.35">
      <c r="A34" s="20">
        <v>45748</v>
      </c>
      <c r="B34" s="16" t="s">
        <v>14</v>
      </c>
      <c r="C34" s="10" t="s">
        <v>10</v>
      </c>
      <c r="D34" s="10" t="s">
        <v>20</v>
      </c>
      <c r="E34" s="10" t="s">
        <v>21</v>
      </c>
      <c r="F34" s="5" cm="1">
        <f t="array" ref="F34">_xlfn.XLOOKUP(A34&amp;B34,'Raw Data'!A:A &amp; 'Raw Data'!B:B, 'Raw Data'!C:C, "", 0)</f>
        <v>14</v>
      </c>
      <c r="G34" s="6" cm="1">
        <f t="array" ref="G34">_xlfn.XLOOKUP(A34&amp;B34,'Raw Data'!A:A &amp; 'Raw Data'!B:B, 'Raw Data'!D:D, "", 0)</f>
        <v>13.34</v>
      </c>
      <c r="H34" s="12">
        <f t="shared" ref="H34:H65" si="1">IF(A34="", "", F34*G34)</f>
        <v>186.76</v>
      </c>
      <c r="I34" s="12" cm="1">
        <f t="array" ref="I34">_xlfn.IFS(E34="Dividend", 0, AND(D34="Buy", E34="Fresh"), -H34, AND(D34="Sell", E34="Fresh"), H34, TRUE, "")</f>
        <v>-186.76</v>
      </c>
      <c r="J34" s="4" t="s">
        <v>26</v>
      </c>
    </row>
    <row r="35" spans="1:10" ht="16.2" thickBot="1" x14ac:dyDescent="0.35">
      <c r="A35" s="19">
        <v>45748</v>
      </c>
      <c r="B35" s="15" t="s">
        <v>11</v>
      </c>
      <c r="C35" s="7" t="s">
        <v>10</v>
      </c>
      <c r="D35" s="7" t="s">
        <v>20</v>
      </c>
      <c r="E35" s="7" t="s">
        <v>21</v>
      </c>
      <c r="F35" s="5" cm="1">
        <f t="array" ref="F35">_xlfn.XLOOKUP(A35&amp;B35,'Raw Data'!A:A &amp; 'Raw Data'!B:B, 'Raw Data'!C:C, "", 0)</f>
        <v>6</v>
      </c>
      <c r="G35" s="6" cm="1">
        <f t="array" ref="G35">_xlfn.XLOOKUP(A35&amp;B35,'Raw Data'!A:A &amp; 'Raw Data'!B:B, 'Raw Data'!D:D, "", 0)</f>
        <v>29.72</v>
      </c>
      <c r="H35" s="9">
        <f t="shared" si="1"/>
        <v>178.32</v>
      </c>
      <c r="I35" s="9" cm="1">
        <f t="array" ref="I35">_xlfn.IFS(E35="Dividend", 0, AND(D35="Buy", E35="Fresh"), -H35, AND(D35="Sell", E35="Fresh"), H35, TRUE, "")</f>
        <v>-178.32</v>
      </c>
      <c r="J35" s="4" t="s">
        <v>26</v>
      </c>
    </row>
    <row r="36" spans="1:10" ht="16.2" thickBot="1" x14ac:dyDescent="0.35">
      <c r="A36" s="20">
        <v>45748</v>
      </c>
      <c r="B36" s="16" t="s">
        <v>22</v>
      </c>
      <c r="C36" s="10" t="s">
        <v>10</v>
      </c>
      <c r="D36" s="10" t="s">
        <v>20</v>
      </c>
      <c r="E36" s="10" t="s">
        <v>21</v>
      </c>
      <c r="F36" s="5" cm="1">
        <f t="array" ref="F36">_xlfn.XLOOKUP(A36&amp;B36,'Raw Data'!A:A &amp; 'Raw Data'!B:B, 'Raw Data'!C:C, "", 0)</f>
        <v>29</v>
      </c>
      <c r="G36" s="6" cm="1">
        <f t="array" ref="G36">_xlfn.XLOOKUP(A36&amp;B36,'Raw Data'!A:A &amp; 'Raw Data'!B:B, 'Raw Data'!D:D, "", 0)</f>
        <v>6.77</v>
      </c>
      <c r="H36" s="12">
        <f t="shared" si="1"/>
        <v>196.32999999999998</v>
      </c>
      <c r="I36" s="12" cm="1">
        <f t="array" ref="I36">_xlfn.IFS(E36="Dividend", 0, AND(D36="Buy", E36="Fresh"), -H36, AND(D36="Sell", E36="Fresh"), H36, TRUE, "")</f>
        <v>-196.32999999999998</v>
      </c>
      <c r="J36" s="4" t="s">
        <v>26</v>
      </c>
    </row>
    <row r="37" spans="1:10" ht="16.2" thickBot="1" x14ac:dyDescent="0.35">
      <c r="A37" s="19">
        <v>45748</v>
      </c>
      <c r="B37" s="15" t="s">
        <v>16</v>
      </c>
      <c r="C37" s="7" t="s">
        <v>15</v>
      </c>
      <c r="D37" s="7" t="s">
        <v>20</v>
      </c>
      <c r="E37" s="7" t="s">
        <v>21</v>
      </c>
      <c r="F37" s="5" cm="1">
        <f t="array" ref="F37">_xlfn.XLOOKUP(A37&amp;B37,'Raw Data'!A:A &amp; 'Raw Data'!B:B, 'Raw Data'!C:C, "", 0)</f>
        <v>6</v>
      </c>
      <c r="G37" s="6" cm="1">
        <f t="array" ref="G37">_xlfn.XLOOKUP(A37&amp;B37,'Raw Data'!A:A &amp; 'Raw Data'!B:B, 'Raw Data'!D:D, "", 0)</f>
        <v>29.3</v>
      </c>
      <c r="H37" s="9">
        <f t="shared" si="1"/>
        <v>175.8</v>
      </c>
      <c r="I37" s="9" cm="1">
        <f t="array" ref="I37">_xlfn.IFS(E37="Dividend", 0, AND(D37="Buy", E37="Fresh"), -H37, AND(D37="Sell", E37="Fresh"), H37, TRUE, "")</f>
        <v>-175.8</v>
      </c>
      <c r="J37" s="4" t="s">
        <v>26</v>
      </c>
    </row>
    <row r="38" spans="1:10" ht="16.2" thickBot="1" x14ac:dyDescent="0.35">
      <c r="A38" s="20">
        <v>45748</v>
      </c>
      <c r="B38" s="16" t="s">
        <v>23</v>
      </c>
      <c r="C38" s="10" t="s">
        <v>15</v>
      </c>
      <c r="D38" s="10" t="s">
        <v>20</v>
      </c>
      <c r="E38" s="10" t="s">
        <v>21</v>
      </c>
      <c r="F38" s="5" cm="1">
        <f t="array" ref="F38">_xlfn.XLOOKUP(A38&amp;B38,'Raw Data'!A:A &amp; 'Raw Data'!B:B, 'Raw Data'!C:C, "", 0)</f>
        <v>17</v>
      </c>
      <c r="G38" s="6" cm="1">
        <f t="array" ref="G38">_xlfn.XLOOKUP(A38&amp;B38,'Raw Data'!A:A &amp; 'Raw Data'!B:B, 'Raw Data'!D:D, "", 0)</f>
        <v>11.27</v>
      </c>
      <c r="H38" s="12">
        <f t="shared" si="1"/>
        <v>191.59</v>
      </c>
      <c r="I38" s="12" cm="1">
        <f t="array" ref="I38">_xlfn.IFS(E38="Dividend", 0, AND(D38="Buy", E38="Fresh"), -H38, AND(D38="Sell", E38="Fresh"), H38, TRUE, "")</f>
        <v>-191.59</v>
      </c>
      <c r="J38" s="4" t="s">
        <v>26</v>
      </c>
    </row>
    <row r="39" spans="1:10" ht="16.2" thickBot="1" x14ac:dyDescent="0.35">
      <c r="A39" s="19">
        <v>45748</v>
      </c>
      <c r="B39" s="15" t="s">
        <v>17</v>
      </c>
      <c r="C39" s="7" t="s">
        <v>15</v>
      </c>
      <c r="D39" s="7" t="s">
        <v>20</v>
      </c>
      <c r="E39" s="7" t="s">
        <v>21</v>
      </c>
      <c r="F39" s="5" cm="1">
        <f t="array" ref="F39">_xlfn.XLOOKUP(A39&amp;B39,'Raw Data'!A:A &amp; 'Raw Data'!B:B, 'Raw Data'!C:C, "", 0)</f>
        <v>47</v>
      </c>
      <c r="G39" s="6" cm="1">
        <f t="array" ref="G39">_xlfn.XLOOKUP(A39&amp;B39,'Raw Data'!A:A &amp; 'Raw Data'!B:B, 'Raw Data'!D:D, "", 0)</f>
        <v>4.22</v>
      </c>
      <c r="H39" s="9">
        <f t="shared" si="1"/>
        <v>198.33999999999997</v>
      </c>
      <c r="I39" s="9" cm="1">
        <f t="array" ref="I39">_xlfn.IFS(E39="Dividend", 0, AND(D39="Buy", E39="Fresh"), -H39, AND(D39="Sell", E39="Fresh"), H39, TRUE, "")</f>
        <v>-198.33999999999997</v>
      </c>
      <c r="J39" s="4" t="s">
        <v>26</v>
      </c>
    </row>
    <row r="40" spans="1:10" ht="16.2" thickBot="1" x14ac:dyDescent="0.35">
      <c r="A40" s="20">
        <v>45748</v>
      </c>
      <c r="B40" s="16" t="s">
        <v>18</v>
      </c>
      <c r="C40" s="10" t="s">
        <v>15</v>
      </c>
      <c r="D40" s="10" t="s">
        <v>20</v>
      </c>
      <c r="E40" s="10" t="s">
        <v>21</v>
      </c>
      <c r="F40" s="5" cm="1">
        <f t="array" ref="F40">_xlfn.XLOOKUP(A40&amp;B40,'Raw Data'!A:A &amp; 'Raw Data'!B:B, 'Raw Data'!C:C, "", 0)</f>
        <v>18</v>
      </c>
      <c r="G40" s="6" cm="1">
        <f t="array" ref="G40">_xlfn.XLOOKUP(A40&amp;B40,'Raw Data'!A:A &amp; 'Raw Data'!B:B, 'Raw Data'!D:D, "", 0)</f>
        <v>10.69</v>
      </c>
      <c r="H40" s="12">
        <f t="shared" si="1"/>
        <v>192.42</v>
      </c>
      <c r="I40" s="12" cm="1">
        <f t="array" ref="I40">_xlfn.IFS(E40="Dividend", 0, AND(D40="Buy", E40="Fresh"), -H40, AND(D40="Sell", E40="Fresh"), H40, TRUE, "")</f>
        <v>-192.42</v>
      </c>
      <c r="J40" s="4" t="s">
        <v>26</v>
      </c>
    </row>
    <row r="41" spans="1:10" ht="16.2" thickBot="1" x14ac:dyDescent="0.35">
      <c r="A41" s="19">
        <v>45748</v>
      </c>
      <c r="B41" s="15" t="s">
        <v>19</v>
      </c>
      <c r="C41" s="7" t="s">
        <v>15</v>
      </c>
      <c r="D41" s="7" t="s">
        <v>20</v>
      </c>
      <c r="E41" s="7" t="s">
        <v>21</v>
      </c>
      <c r="F41" s="5" cm="1">
        <f t="array" ref="F41">_xlfn.XLOOKUP(A41&amp;B41,'Raw Data'!A:A &amp; 'Raw Data'!B:B, 'Raw Data'!C:C, "", 0)</f>
        <v>6</v>
      </c>
      <c r="G41" s="6" cm="1">
        <f t="array" ref="G41">_xlfn.XLOOKUP(A41&amp;B41,'Raw Data'!A:A &amp; 'Raw Data'!B:B, 'Raw Data'!D:D, "", 0)</f>
        <v>29.25</v>
      </c>
      <c r="H41" s="9">
        <f t="shared" si="1"/>
        <v>175.5</v>
      </c>
      <c r="I41" s="9" cm="1">
        <f t="array" ref="I41">_xlfn.IFS(E41="Dividend", 0, AND(D41="Buy", E41="Fresh"), -H41, AND(D41="Sell", E41="Fresh"), H41, TRUE, "")</f>
        <v>-175.5</v>
      </c>
      <c r="J41" s="4" t="s">
        <v>26</v>
      </c>
    </row>
    <row r="42" spans="1:10" ht="16.2" thickBot="1" x14ac:dyDescent="0.35">
      <c r="A42" s="20">
        <v>45778</v>
      </c>
      <c r="B42" s="16" t="s">
        <v>12</v>
      </c>
      <c r="C42" s="10" t="s">
        <v>15</v>
      </c>
      <c r="D42" s="10" t="s">
        <v>20</v>
      </c>
      <c r="E42" s="10" t="s">
        <v>21</v>
      </c>
      <c r="F42" s="5" cm="1">
        <f t="array" ref="F42">_xlfn.XLOOKUP(A42&amp;B42,'Raw Data'!A:A &amp; 'Raw Data'!B:B, 'Raw Data'!C:C, "", 0)</f>
        <v>9</v>
      </c>
      <c r="G42" s="6" cm="1">
        <f t="array" ref="G42">_xlfn.XLOOKUP(A42&amp;B42,'Raw Data'!A:A &amp; 'Raw Data'!B:B, 'Raw Data'!D:D, "", 0)</f>
        <v>20.329999999999998</v>
      </c>
      <c r="H42" s="12">
        <f t="shared" si="1"/>
        <v>182.96999999999997</v>
      </c>
      <c r="I42" s="12" cm="1">
        <f t="array" ref="I42">_xlfn.IFS(E42="Dividend", 0, AND(D42="Buy", E42="Fresh"), -H42, AND(D42="Sell", E42="Fresh"), H42, TRUE, "")</f>
        <v>-182.96999999999997</v>
      </c>
      <c r="J42" s="4" t="s">
        <v>26</v>
      </c>
    </row>
    <row r="43" spans="1:10" ht="16.2" thickBot="1" x14ac:dyDescent="0.35">
      <c r="A43" s="19">
        <v>45778</v>
      </c>
      <c r="B43" s="15" t="s">
        <v>13</v>
      </c>
      <c r="C43" s="7" t="s">
        <v>15</v>
      </c>
      <c r="D43" s="7" t="s">
        <v>20</v>
      </c>
      <c r="E43" s="7" t="s">
        <v>21</v>
      </c>
      <c r="F43" s="5" cm="1">
        <f t="array" ref="F43">_xlfn.XLOOKUP(A43&amp;B43,'Raw Data'!A:A &amp; 'Raw Data'!B:B, 'Raw Data'!C:C, "", 0)</f>
        <v>5</v>
      </c>
      <c r="G43" s="6" cm="1">
        <f t="array" ref="G43">_xlfn.XLOOKUP(A43&amp;B43,'Raw Data'!A:A &amp; 'Raw Data'!B:B, 'Raw Data'!D:D, "", 0)</f>
        <v>37.450000000000003</v>
      </c>
      <c r="H43" s="9">
        <f t="shared" si="1"/>
        <v>187.25</v>
      </c>
      <c r="I43" s="9" cm="1">
        <f t="array" ref="I43">_xlfn.IFS(E43="Dividend", 0, AND(D43="Buy", E43="Fresh"), -H43, AND(D43="Sell", E43="Fresh"), H43, TRUE, "")</f>
        <v>-187.25</v>
      </c>
      <c r="J43" s="4" t="s">
        <v>26</v>
      </c>
    </row>
    <row r="44" spans="1:10" ht="16.2" thickBot="1" x14ac:dyDescent="0.35">
      <c r="A44" s="20">
        <v>45778</v>
      </c>
      <c r="B44" s="16" t="s">
        <v>14</v>
      </c>
      <c r="C44" s="10" t="s">
        <v>15</v>
      </c>
      <c r="D44" s="10" t="s">
        <v>20</v>
      </c>
      <c r="E44" s="10" t="s">
        <v>21</v>
      </c>
      <c r="F44" s="5" cm="1">
        <f t="array" ref="F44">_xlfn.XLOOKUP(A44&amp;B44,'Raw Data'!A:A &amp; 'Raw Data'!B:B, 'Raw Data'!C:C, "", 0)</f>
        <v>14</v>
      </c>
      <c r="G44" s="6" cm="1">
        <f t="array" ref="G44">_xlfn.XLOOKUP(A44&amp;B44,'Raw Data'!A:A &amp; 'Raw Data'!B:B, 'Raw Data'!D:D, "", 0)</f>
        <v>14.2</v>
      </c>
      <c r="H44" s="12">
        <f t="shared" si="1"/>
        <v>198.79999999999998</v>
      </c>
      <c r="I44" s="12" cm="1">
        <f t="array" ref="I44">_xlfn.IFS(E44="Dividend", 0, AND(D44="Buy", E44="Fresh"), -H44, AND(D44="Sell", E44="Fresh"), H44, TRUE, "")</f>
        <v>-198.79999999999998</v>
      </c>
      <c r="J44" s="4" t="s">
        <v>26</v>
      </c>
    </row>
    <row r="45" spans="1:10" ht="16.2" thickBot="1" x14ac:dyDescent="0.35">
      <c r="A45" s="19">
        <v>45778</v>
      </c>
      <c r="B45" s="15" t="s">
        <v>11</v>
      </c>
      <c r="C45" s="7" t="s">
        <v>15</v>
      </c>
      <c r="D45" s="7" t="s">
        <v>20</v>
      </c>
      <c r="E45" s="7" t="s">
        <v>21</v>
      </c>
      <c r="F45" s="5" cm="1">
        <f t="array" ref="F45">_xlfn.XLOOKUP(A45&amp;B45,'Raw Data'!A:A &amp; 'Raw Data'!B:B, 'Raw Data'!C:C, "", 0)</f>
        <v>6</v>
      </c>
      <c r="G45" s="6" cm="1">
        <f t="array" ref="G45">_xlfn.XLOOKUP(A45&amp;B45,'Raw Data'!A:A &amp; 'Raw Data'!B:B, 'Raw Data'!D:D, "", 0)</f>
        <v>31.9</v>
      </c>
      <c r="H45" s="9">
        <f t="shared" si="1"/>
        <v>191.39999999999998</v>
      </c>
      <c r="I45" s="9" cm="1">
        <f t="array" ref="I45">_xlfn.IFS(E45="Dividend", 0, AND(D45="Buy", E45="Fresh"), -H45, AND(D45="Sell", E45="Fresh"), H45, TRUE, "")</f>
        <v>-191.39999999999998</v>
      </c>
      <c r="J45" s="4" t="s">
        <v>26</v>
      </c>
    </row>
    <row r="46" spans="1:10" ht="16.2" thickBot="1" x14ac:dyDescent="0.35">
      <c r="A46" s="20">
        <v>45778</v>
      </c>
      <c r="B46" s="16" t="s">
        <v>22</v>
      </c>
      <c r="C46" s="10" t="s">
        <v>15</v>
      </c>
      <c r="D46" s="10" t="s">
        <v>20</v>
      </c>
      <c r="E46" s="10" t="s">
        <v>21</v>
      </c>
      <c r="F46" s="5" cm="1">
        <f t="array" ref="F46">_xlfn.XLOOKUP(A46&amp;B46,'Raw Data'!A:A &amp; 'Raw Data'!B:B, 'Raw Data'!C:C, "", 0)</f>
        <v>29</v>
      </c>
      <c r="G46" s="6" cm="1">
        <f t="array" ref="G46">_xlfn.XLOOKUP(A46&amp;B46,'Raw Data'!A:A &amp; 'Raw Data'!B:B, 'Raw Data'!D:D, "", 0)</f>
        <v>6.75</v>
      </c>
      <c r="H46" s="12">
        <f t="shared" si="1"/>
        <v>195.75</v>
      </c>
      <c r="I46" s="12" cm="1">
        <f t="array" ref="I46">_xlfn.IFS(E46="Dividend", 0, AND(D46="Buy", E46="Fresh"), -H46, AND(D46="Sell", E46="Fresh"), H46, TRUE, "")</f>
        <v>-195.75</v>
      </c>
      <c r="J46" s="4" t="s">
        <v>26</v>
      </c>
    </row>
    <row r="47" spans="1:10" ht="16.2" thickBot="1" x14ac:dyDescent="0.35">
      <c r="A47" s="19">
        <v>45778</v>
      </c>
      <c r="B47" s="15" t="s">
        <v>16</v>
      </c>
      <c r="C47" s="7" t="s">
        <v>10</v>
      </c>
      <c r="D47" s="7" t="s">
        <v>20</v>
      </c>
      <c r="E47" s="7" t="s">
        <v>21</v>
      </c>
      <c r="F47" s="5" cm="1">
        <f t="array" ref="F47">_xlfn.XLOOKUP(A47&amp;B47,'Raw Data'!A:A &amp; 'Raw Data'!B:B, 'Raw Data'!C:C, "", 0)</f>
        <v>6</v>
      </c>
      <c r="G47" s="6" cm="1">
        <f t="array" ref="G47">_xlfn.XLOOKUP(A47&amp;B47,'Raw Data'!A:A &amp; 'Raw Data'!B:B, 'Raw Data'!D:D, "", 0)</f>
        <v>29.99</v>
      </c>
      <c r="H47" s="9">
        <f t="shared" si="1"/>
        <v>179.94</v>
      </c>
      <c r="I47" s="9" cm="1">
        <f t="array" ref="I47">_xlfn.IFS(E47="Dividend", 0, AND(D47="Buy", E47="Fresh"), -H47, AND(D47="Sell", E47="Fresh"), H47, TRUE, "")</f>
        <v>-179.94</v>
      </c>
      <c r="J47" s="4" t="s">
        <v>26</v>
      </c>
    </row>
    <row r="48" spans="1:10" ht="16.2" thickBot="1" x14ac:dyDescent="0.35">
      <c r="A48" s="20">
        <v>45778</v>
      </c>
      <c r="B48" s="16" t="s">
        <v>23</v>
      </c>
      <c r="C48" s="10" t="s">
        <v>10</v>
      </c>
      <c r="D48" s="10" t="s">
        <v>20</v>
      </c>
      <c r="E48" s="10" t="s">
        <v>21</v>
      </c>
      <c r="F48" s="5" cm="1">
        <f t="array" ref="F48">_xlfn.XLOOKUP(A48&amp;B48,'Raw Data'!A:A &amp; 'Raw Data'!B:B, 'Raw Data'!C:C, "", 0)</f>
        <v>16</v>
      </c>
      <c r="G48" s="6" cm="1">
        <f t="array" ref="G48">_xlfn.XLOOKUP(A48&amp;B48,'Raw Data'!A:A &amp; 'Raw Data'!B:B, 'Raw Data'!D:D, "", 0)</f>
        <v>11.84</v>
      </c>
      <c r="H48" s="12">
        <f t="shared" si="1"/>
        <v>189.44</v>
      </c>
      <c r="I48" s="12" cm="1">
        <f t="array" ref="I48">_xlfn.IFS(E48="Dividend", 0, AND(D48="Buy", E48="Fresh"), -H48, AND(D48="Sell", E48="Fresh"), H48, TRUE, "")</f>
        <v>-189.44</v>
      </c>
      <c r="J48" s="4" t="s">
        <v>26</v>
      </c>
    </row>
    <row r="49" spans="1:10" ht="16.2" thickBot="1" x14ac:dyDescent="0.35">
      <c r="A49" s="19">
        <v>45778</v>
      </c>
      <c r="B49" s="15" t="s">
        <v>17</v>
      </c>
      <c r="C49" s="7" t="s">
        <v>10</v>
      </c>
      <c r="D49" s="7" t="s">
        <v>20</v>
      </c>
      <c r="E49" s="7" t="s">
        <v>21</v>
      </c>
      <c r="F49" s="5" cm="1">
        <f t="array" ref="F49">_xlfn.XLOOKUP(A49&amp;B49,'Raw Data'!A:A &amp; 'Raw Data'!B:B, 'Raw Data'!C:C, "", 0)</f>
        <v>44</v>
      </c>
      <c r="G49" s="6" cm="1">
        <f t="array" ref="G49">_xlfn.XLOOKUP(A49&amp;B49,'Raw Data'!A:A &amp; 'Raw Data'!B:B, 'Raw Data'!D:D, "", 0)</f>
        <v>4.5199999999999996</v>
      </c>
      <c r="H49" s="9">
        <f t="shared" si="1"/>
        <v>198.88</v>
      </c>
      <c r="I49" s="9" cm="1">
        <f t="array" ref="I49">_xlfn.IFS(E49="Dividend", 0, AND(D49="Buy", E49="Fresh"), -H49, AND(D49="Sell", E49="Fresh"), H49, TRUE, "")</f>
        <v>-198.88</v>
      </c>
      <c r="J49" s="4" t="s">
        <v>26</v>
      </c>
    </row>
    <row r="50" spans="1:10" ht="16.2" thickBot="1" x14ac:dyDescent="0.35">
      <c r="A50" s="20">
        <v>45778</v>
      </c>
      <c r="B50" s="16" t="s">
        <v>18</v>
      </c>
      <c r="C50" s="10" t="s">
        <v>10</v>
      </c>
      <c r="D50" s="10" t="s">
        <v>20</v>
      </c>
      <c r="E50" s="10" t="s">
        <v>21</v>
      </c>
      <c r="F50" s="5" cm="1">
        <f t="array" ref="F50">_xlfn.XLOOKUP(A50&amp;B50,'Raw Data'!A:A &amp; 'Raw Data'!B:B, 'Raw Data'!C:C, "", 0)</f>
        <v>18</v>
      </c>
      <c r="G50" s="6" cm="1">
        <f t="array" ref="G50">_xlfn.XLOOKUP(A50&amp;B50,'Raw Data'!A:A &amp; 'Raw Data'!B:B, 'Raw Data'!D:D, "", 0)</f>
        <v>10.68</v>
      </c>
      <c r="H50" s="12">
        <f t="shared" si="1"/>
        <v>192.24</v>
      </c>
      <c r="I50" s="12" cm="1">
        <f t="array" ref="I50">_xlfn.IFS(E50="Dividend", 0, AND(D50="Buy", E50="Fresh"), -H50, AND(D50="Sell", E50="Fresh"), H50, TRUE, "")</f>
        <v>-192.24</v>
      </c>
      <c r="J50" s="4" t="s">
        <v>26</v>
      </c>
    </row>
    <row r="51" spans="1:10" ht="16.2" thickBot="1" x14ac:dyDescent="0.35">
      <c r="A51" s="19">
        <v>45778</v>
      </c>
      <c r="B51" s="15" t="s">
        <v>19</v>
      </c>
      <c r="C51" s="7" t="s">
        <v>10</v>
      </c>
      <c r="D51" s="7" t="s">
        <v>20</v>
      </c>
      <c r="E51" s="7" t="s">
        <v>21</v>
      </c>
      <c r="F51" s="5" cm="1">
        <f t="array" ref="F51">_xlfn.XLOOKUP(A51&amp;B51,'Raw Data'!A:A &amp; 'Raw Data'!B:B, 'Raw Data'!C:C, "", 0)</f>
        <v>6</v>
      </c>
      <c r="G51" s="6" cm="1">
        <f t="array" ref="G51">_xlfn.XLOOKUP(A51&amp;B51,'Raw Data'!A:A &amp; 'Raw Data'!B:B, 'Raw Data'!D:D, "", 0)</f>
        <v>30.11</v>
      </c>
      <c r="H51" s="9">
        <f t="shared" si="1"/>
        <v>180.66</v>
      </c>
      <c r="I51" s="9" cm="1">
        <f t="array" ref="I51">_xlfn.IFS(E51="Dividend", 0, AND(D51="Buy", E51="Fresh"), -H51, AND(D51="Sell", E51="Fresh"), H51, TRUE, "")</f>
        <v>-180.66</v>
      </c>
      <c r="J51" s="4" t="s">
        <v>26</v>
      </c>
    </row>
    <row r="52" spans="1:10" ht="16.2" thickBot="1" x14ac:dyDescent="0.35">
      <c r="A52" s="20">
        <v>45810</v>
      </c>
      <c r="B52" s="16" t="s">
        <v>12</v>
      </c>
      <c r="C52" s="10" t="s">
        <v>10</v>
      </c>
      <c r="D52" s="10" t="s">
        <v>20</v>
      </c>
      <c r="E52" s="10" t="s">
        <v>21</v>
      </c>
      <c r="F52" s="5" cm="1">
        <f t="array" ref="F52">_xlfn.XLOOKUP(A52&amp;B52,'Raw Data'!A:A &amp; 'Raw Data'!B:B, 'Raw Data'!C:C, "", 0)</f>
        <v>8</v>
      </c>
      <c r="G52" s="6" cm="1">
        <f t="array" ref="G52">_xlfn.XLOOKUP(A52&amp;B52,'Raw Data'!A:A &amp; 'Raw Data'!B:B, 'Raw Data'!D:D, "", 0)</f>
        <v>22.25</v>
      </c>
      <c r="H52" s="12">
        <f t="shared" si="1"/>
        <v>178</v>
      </c>
      <c r="I52" s="12" cm="1">
        <f t="array" ref="I52">_xlfn.IFS(E52="Dividend", 0, AND(D52="Buy", E52="Fresh"), -H52, AND(D52="Sell", E52="Fresh"), H52, TRUE, "")</f>
        <v>-178</v>
      </c>
      <c r="J52" s="4" t="s">
        <v>26</v>
      </c>
    </row>
    <row r="53" spans="1:10" ht="16.2" thickBot="1" x14ac:dyDescent="0.35">
      <c r="A53" s="19">
        <v>45810</v>
      </c>
      <c r="B53" s="15" t="s">
        <v>13</v>
      </c>
      <c r="C53" s="7" t="s">
        <v>10</v>
      </c>
      <c r="D53" s="7" t="s">
        <v>20</v>
      </c>
      <c r="E53" s="7" t="s">
        <v>21</v>
      </c>
      <c r="F53" s="5" cm="1">
        <f t="array" ref="F53">_xlfn.XLOOKUP(A53&amp;B53,'Raw Data'!A:A &amp; 'Raw Data'!B:B, 'Raw Data'!C:C, "", 0)</f>
        <v>5</v>
      </c>
      <c r="G53" s="6" cm="1">
        <f t="array" ref="G53">_xlfn.XLOOKUP(A53&amp;B53,'Raw Data'!A:A &amp; 'Raw Data'!B:B, 'Raw Data'!D:D, "", 0)</f>
        <v>38.1</v>
      </c>
      <c r="H53" s="9">
        <f t="shared" si="1"/>
        <v>190.5</v>
      </c>
      <c r="I53" s="9" cm="1">
        <f t="array" ref="I53">_xlfn.IFS(E53="Dividend", 0, AND(D53="Buy", E53="Fresh"), -H53, AND(D53="Sell", E53="Fresh"), H53, TRUE, "")</f>
        <v>-190.5</v>
      </c>
      <c r="J53" s="4" t="s">
        <v>26</v>
      </c>
    </row>
    <row r="54" spans="1:10" ht="16.2" thickBot="1" x14ac:dyDescent="0.35">
      <c r="A54" s="20">
        <v>45810</v>
      </c>
      <c r="B54" s="16" t="s">
        <v>14</v>
      </c>
      <c r="C54" s="10" t="s">
        <v>10</v>
      </c>
      <c r="D54" s="10" t="s">
        <v>20</v>
      </c>
      <c r="E54" s="10" t="s">
        <v>21</v>
      </c>
      <c r="F54" s="5" cm="1">
        <f t="array" ref="F54">_xlfn.XLOOKUP(A54&amp;B54,'Raw Data'!A:A &amp; 'Raw Data'!B:B, 'Raw Data'!C:C, "", 0)</f>
        <v>14</v>
      </c>
      <c r="G54" s="6" cm="1">
        <f t="array" ref="G54">_xlfn.XLOOKUP(A54&amp;B54,'Raw Data'!A:A &amp; 'Raw Data'!B:B, 'Raw Data'!D:D, "", 0)</f>
        <v>14.23</v>
      </c>
      <c r="H54" s="12">
        <f t="shared" si="1"/>
        <v>199.22</v>
      </c>
      <c r="I54" s="12" cm="1">
        <f t="array" ref="I54">_xlfn.IFS(E54="Dividend", 0, AND(D54="Buy", E54="Fresh"), -H54, AND(D54="Sell", E54="Fresh"), H54, TRUE, "")</f>
        <v>-199.22</v>
      </c>
      <c r="J54" s="4" t="s">
        <v>26</v>
      </c>
    </row>
    <row r="55" spans="1:10" ht="16.2" thickBot="1" x14ac:dyDescent="0.35">
      <c r="A55" s="19">
        <v>45810</v>
      </c>
      <c r="B55" s="15" t="s">
        <v>11</v>
      </c>
      <c r="C55" s="7" t="s">
        <v>10</v>
      </c>
      <c r="D55" s="7" t="s">
        <v>20</v>
      </c>
      <c r="E55" s="7" t="s">
        <v>21</v>
      </c>
      <c r="F55" s="5" cm="1">
        <f t="array" ref="F55">_xlfn.XLOOKUP(A55&amp;B55,'Raw Data'!A:A &amp; 'Raw Data'!B:B, 'Raw Data'!C:C, "", 0)</f>
        <v>6</v>
      </c>
      <c r="G55" s="6" cm="1">
        <f t="array" ref="G55">_xlfn.XLOOKUP(A55&amp;B55,'Raw Data'!A:A &amp; 'Raw Data'!B:B, 'Raw Data'!D:D, "", 0)</f>
        <v>31.85</v>
      </c>
      <c r="H55" s="9">
        <f t="shared" si="1"/>
        <v>191.10000000000002</v>
      </c>
      <c r="I55" s="9" cm="1">
        <f t="array" ref="I55">_xlfn.IFS(E55="Dividend", 0, AND(D55="Buy", E55="Fresh"), -H55, AND(D55="Sell", E55="Fresh"), H55, TRUE, "")</f>
        <v>-191.10000000000002</v>
      </c>
      <c r="J55" s="4" t="s">
        <v>26</v>
      </c>
    </row>
    <row r="56" spans="1:10" ht="16.2" thickBot="1" x14ac:dyDescent="0.35">
      <c r="A56" s="20">
        <v>45810</v>
      </c>
      <c r="B56" s="16" t="s">
        <v>22</v>
      </c>
      <c r="C56" s="10" t="s">
        <v>10</v>
      </c>
      <c r="D56" s="10" t="s">
        <v>20</v>
      </c>
      <c r="E56" s="10" t="s">
        <v>21</v>
      </c>
      <c r="F56" s="5" cm="1">
        <f t="array" ref="F56">_xlfn.XLOOKUP(A56&amp;B56,'Raw Data'!A:A &amp; 'Raw Data'!B:B, 'Raw Data'!C:C, "", 0)</f>
        <v>24</v>
      </c>
      <c r="G56" s="6" cm="1">
        <f t="array" ref="G56">_xlfn.XLOOKUP(A56&amp;B56,'Raw Data'!A:A &amp; 'Raw Data'!B:B, 'Raw Data'!D:D, "", 0)</f>
        <v>8.14</v>
      </c>
      <c r="H56" s="12">
        <f t="shared" si="1"/>
        <v>195.36</v>
      </c>
      <c r="I56" s="12" cm="1">
        <f t="array" ref="I56">_xlfn.IFS(E56="Dividend", 0, AND(D56="Buy", E56="Fresh"), -H56, AND(D56="Sell", E56="Fresh"), H56, TRUE, "")</f>
        <v>-195.36</v>
      </c>
      <c r="J56" s="4" t="s">
        <v>26</v>
      </c>
    </row>
    <row r="57" spans="1:10" ht="16.2" thickBot="1" x14ac:dyDescent="0.35">
      <c r="A57" s="19">
        <v>45810</v>
      </c>
      <c r="B57" s="15" t="s">
        <v>16</v>
      </c>
      <c r="C57" s="7" t="s">
        <v>15</v>
      </c>
      <c r="D57" s="7" t="s">
        <v>20</v>
      </c>
      <c r="E57" s="7" t="s">
        <v>21</v>
      </c>
      <c r="F57" s="5" cm="1">
        <f t="array" ref="F57">_xlfn.XLOOKUP(A57&amp;B57,'Raw Data'!A:A &amp; 'Raw Data'!B:B, 'Raw Data'!C:C, "", 0)</f>
        <v>6</v>
      </c>
      <c r="G57" s="6" cm="1">
        <f t="array" ref="G57">_xlfn.XLOOKUP(A57&amp;B57,'Raw Data'!A:A &amp; 'Raw Data'!B:B, 'Raw Data'!D:D, "", 0)</f>
        <v>28.96</v>
      </c>
      <c r="H57" s="9">
        <f t="shared" si="1"/>
        <v>173.76</v>
      </c>
      <c r="I57" s="9" cm="1">
        <f t="array" ref="I57">_xlfn.IFS(E57="Dividend", 0, AND(D57="Buy", E57="Fresh"), -H57, AND(D57="Sell", E57="Fresh"), H57, TRUE, "")</f>
        <v>-173.76</v>
      </c>
      <c r="J57" s="4" t="s">
        <v>26</v>
      </c>
    </row>
    <row r="58" spans="1:10" ht="16.2" thickBot="1" x14ac:dyDescent="0.35">
      <c r="A58" s="20">
        <v>45810</v>
      </c>
      <c r="B58" s="16" t="s">
        <v>23</v>
      </c>
      <c r="C58" s="10" t="s">
        <v>15</v>
      </c>
      <c r="D58" s="10" t="s">
        <v>20</v>
      </c>
      <c r="E58" s="10" t="s">
        <v>21</v>
      </c>
      <c r="F58" s="5" cm="1">
        <f t="array" ref="F58">_xlfn.XLOOKUP(A58&amp;B58,'Raw Data'!A:A &amp; 'Raw Data'!B:B, 'Raw Data'!C:C, "", 0)</f>
        <v>15</v>
      </c>
      <c r="G58" s="6" cm="1">
        <f t="array" ref="G58">_xlfn.XLOOKUP(A58&amp;B58,'Raw Data'!A:A &amp; 'Raw Data'!B:B, 'Raw Data'!D:D, "", 0)</f>
        <v>12.81</v>
      </c>
      <c r="H58" s="12">
        <f t="shared" si="1"/>
        <v>192.15</v>
      </c>
      <c r="I58" s="12" cm="1">
        <f t="array" ref="I58">_xlfn.IFS(E58="Dividend", 0, AND(D58="Buy", E58="Fresh"), -H58, AND(D58="Sell", E58="Fresh"), H58, TRUE, "")</f>
        <v>-192.15</v>
      </c>
      <c r="J58" s="4" t="s">
        <v>26</v>
      </c>
    </row>
    <row r="59" spans="1:10" ht="16.2" thickBot="1" x14ac:dyDescent="0.35">
      <c r="A59" s="19">
        <v>45810</v>
      </c>
      <c r="B59" s="15" t="s">
        <v>17</v>
      </c>
      <c r="C59" s="7" t="s">
        <v>15</v>
      </c>
      <c r="D59" s="7" t="s">
        <v>20</v>
      </c>
      <c r="E59" s="7" t="s">
        <v>21</v>
      </c>
      <c r="F59" s="5" cm="1">
        <f t="array" ref="F59">_xlfn.XLOOKUP(A59&amp;B59,'Raw Data'!A:A &amp; 'Raw Data'!B:B, 'Raw Data'!C:C, "", 0)</f>
        <v>41</v>
      </c>
      <c r="G59" s="6" cm="1">
        <f t="array" ref="G59">_xlfn.XLOOKUP(A59&amp;B59,'Raw Data'!A:A &amp; 'Raw Data'!B:B, 'Raw Data'!D:D, "", 0)</f>
        <v>4.8099999999999996</v>
      </c>
      <c r="H59" s="9">
        <f t="shared" si="1"/>
        <v>197.20999999999998</v>
      </c>
      <c r="I59" s="9" cm="1">
        <f t="array" ref="I59">_xlfn.IFS(E59="Dividend", 0, AND(D59="Buy", E59="Fresh"), -H59, AND(D59="Sell", E59="Fresh"), H59, TRUE, "")</f>
        <v>-197.20999999999998</v>
      </c>
      <c r="J59" s="4" t="s">
        <v>26</v>
      </c>
    </row>
    <row r="60" spans="1:10" ht="16.2" thickBot="1" x14ac:dyDescent="0.35">
      <c r="A60" s="20">
        <v>45810</v>
      </c>
      <c r="B60" s="16" t="s">
        <v>18</v>
      </c>
      <c r="C60" s="10" t="s">
        <v>15</v>
      </c>
      <c r="D60" s="10" t="s">
        <v>20</v>
      </c>
      <c r="E60" s="10" t="s">
        <v>21</v>
      </c>
      <c r="F60" s="5" cm="1">
        <f t="array" ref="F60">_xlfn.XLOOKUP(A60&amp;B60,'Raw Data'!A:A &amp; 'Raw Data'!B:B, 'Raw Data'!C:C, "", 0)</f>
        <v>18</v>
      </c>
      <c r="G60" s="6" cm="1">
        <f t="array" ref="G60">_xlfn.XLOOKUP(A60&amp;B60,'Raw Data'!A:A &amp; 'Raw Data'!B:B, 'Raw Data'!D:D, "", 0)</f>
        <v>10.77</v>
      </c>
      <c r="H60" s="12">
        <f t="shared" si="1"/>
        <v>193.85999999999999</v>
      </c>
      <c r="I60" s="12" cm="1">
        <f t="array" ref="I60">_xlfn.IFS(E60="Dividend", 0, AND(D60="Buy", E60="Fresh"), -H60, AND(D60="Sell", E60="Fresh"), H60, TRUE, "")</f>
        <v>-193.85999999999999</v>
      </c>
      <c r="J60" s="4" t="s">
        <v>26</v>
      </c>
    </row>
    <row r="61" spans="1:10" ht="16.2" thickBot="1" x14ac:dyDescent="0.35">
      <c r="A61" s="19">
        <v>45810</v>
      </c>
      <c r="B61" s="15" t="s">
        <v>19</v>
      </c>
      <c r="C61" s="7" t="s">
        <v>15</v>
      </c>
      <c r="D61" s="7" t="s">
        <v>20</v>
      </c>
      <c r="E61" s="7" t="s">
        <v>21</v>
      </c>
      <c r="F61" s="5" cm="1">
        <f t="array" ref="F61">_xlfn.XLOOKUP(A61&amp;B61,'Raw Data'!A:A &amp; 'Raw Data'!B:B, 'Raw Data'!C:C, "", 0)</f>
        <v>6</v>
      </c>
      <c r="G61" s="6" cm="1">
        <f t="array" ref="G61">_xlfn.XLOOKUP(A61&amp;B61,'Raw Data'!A:A &amp; 'Raw Data'!B:B, 'Raw Data'!D:D, "", 0)</f>
        <v>32.53</v>
      </c>
      <c r="H61" s="9">
        <f t="shared" si="1"/>
        <v>195.18</v>
      </c>
      <c r="I61" s="9" cm="1">
        <f t="array" ref="I61">_xlfn.IFS(E61="Dividend", 0, AND(D61="Buy", E61="Fresh"), -H61, AND(D61="Sell", E61="Fresh"), H61, TRUE, "")</f>
        <v>-195.18</v>
      </c>
      <c r="J61" s="4" t="s">
        <v>26</v>
      </c>
    </row>
    <row r="62" spans="1:10" ht="16.2" thickBot="1" x14ac:dyDescent="0.35">
      <c r="A62" s="20">
        <v>45839</v>
      </c>
      <c r="B62" s="16" t="s">
        <v>12</v>
      </c>
      <c r="C62" s="10" t="s">
        <v>15</v>
      </c>
      <c r="D62" s="10" t="s">
        <v>20</v>
      </c>
      <c r="E62" s="10" t="s">
        <v>21</v>
      </c>
      <c r="F62" s="5" cm="1">
        <f t="array" ref="F62">_xlfn.XLOOKUP(A62&amp;B62,'Raw Data'!A:A &amp; 'Raw Data'!B:B, 'Raw Data'!C:C, "", 0)</f>
        <v>8</v>
      </c>
      <c r="G62" s="6" cm="1">
        <f t="array" ref="G62">_xlfn.XLOOKUP(A62&amp;B62,'Raw Data'!A:A &amp; 'Raw Data'!B:B, 'Raw Data'!D:D, "", 0)</f>
        <v>23.7</v>
      </c>
      <c r="H62" s="12">
        <f t="shared" si="1"/>
        <v>189.6</v>
      </c>
      <c r="I62" s="12" cm="1">
        <f t="array" ref="I62">_xlfn.IFS(E62="Dividend", 0, AND(D62="Buy", E62="Fresh"), -H62, AND(D62="Sell", E62="Fresh"), H62, TRUE, "")</f>
        <v>-189.6</v>
      </c>
      <c r="J62" s="4" t="s">
        <v>26</v>
      </c>
    </row>
    <row r="63" spans="1:10" ht="16.2" thickBot="1" x14ac:dyDescent="0.35">
      <c r="A63" s="19">
        <v>45839</v>
      </c>
      <c r="B63" s="15" t="s">
        <v>13</v>
      </c>
      <c r="C63" s="7" t="s">
        <v>15</v>
      </c>
      <c r="D63" s="7" t="s">
        <v>20</v>
      </c>
      <c r="E63" s="7" t="s">
        <v>21</v>
      </c>
      <c r="F63" s="5" cm="1">
        <f t="array" ref="F63">_xlfn.XLOOKUP(A63&amp;B63,'Raw Data'!A:A &amp; 'Raw Data'!B:B, 'Raw Data'!C:C, "", 0)</f>
        <v>5</v>
      </c>
      <c r="G63" s="6" cm="1">
        <f t="array" ref="G63">_xlfn.XLOOKUP(A63&amp;B63,'Raw Data'!A:A &amp; 'Raw Data'!B:B, 'Raw Data'!D:D, "", 0)</f>
        <v>36.64</v>
      </c>
      <c r="H63" s="9">
        <f t="shared" si="1"/>
        <v>183.2</v>
      </c>
      <c r="I63" s="9" cm="1">
        <f t="array" ref="I63">_xlfn.IFS(E63="Dividend", 0, AND(D63="Buy", E63="Fresh"), -H63, AND(D63="Sell", E63="Fresh"), H63, TRUE, "")</f>
        <v>-183.2</v>
      </c>
      <c r="J63" s="4" t="s">
        <v>26</v>
      </c>
    </row>
    <row r="64" spans="1:10" ht="16.2" thickBot="1" x14ac:dyDescent="0.35">
      <c r="A64" s="20">
        <v>45839</v>
      </c>
      <c r="B64" s="16" t="s">
        <v>14</v>
      </c>
      <c r="C64" s="10" t="s">
        <v>15</v>
      </c>
      <c r="D64" s="10" t="s">
        <v>20</v>
      </c>
      <c r="E64" s="10" t="s">
        <v>21</v>
      </c>
      <c r="F64" s="5" cm="1">
        <f t="array" ref="F64">_xlfn.XLOOKUP(A64&amp;B64,'Raw Data'!A:A &amp; 'Raw Data'!B:B, 'Raw Data'!C:C, "", 0)</f>
        <v>14</v>
      </c>
      <c r="G64" s="6" cm="1">
        <f t="array" ref="G64">_xlfn.XLOOKUP(A64&amp;B64,'Raw Data'!A:A &amp; 'Raw Data'!B:B, 'Raw Data'!D:D, "", 0)</f>
        <v>13.95</v>
      </c>
      <c r="H64" s="12">
        <f t="shared" si="1"/>
        <v>195.29999999999998</v>
      </c>
      <c r="I64" s="12" cm="1">
        <f t="array" ref="I64">_xlfn.IFS(E64="Dividend", 0, AND(D64="Buy", E64="Fresh"), -H64, AND(D64="Sell", E64="Fresh"), H64, TRUE, "")</f>
        <v>-195.29999999999998</v>
      </c>
      <c r="J64" s="4" t="s">
        <v>26</v>
      </c>
    </row>
    <row r="65" spans="1:10" ht="16.2" thickBot="1" x14ac:dyDescent="0.35">
      <c r="A65" s="19">
        <v>45839</v>
      </c>
      <c r="B65" s="15" t="s">
        <v>11</v>
      </c>
      <c r="C65" s="7" t="s">
        <v>15</v>
      </c>
      <c r="D65" s="7" t="s">
        <v>20</v>
      </c>
      <c r="E65" s="7" t="s">
        <v>21</v>
      </c>
      <c r="F65" s="5" cm="1">
        <f t="array" ref="F65">_xlfn.XLOOKUP(A65&amp;B65,'Raw Data'!A:A &amp; 'Raw Data'!B:B, 'Raw Data'!C:C, "", 0)</f>
        <v>6</v>
      </c>
      <c r="G65" s="6" cm="1">
        <f t="array" ref="G65">_xlfn.XLOOKUP(A65&amp;B65,'Raw Data'!A:A &amp; 'Raw Data'!B:B, 'Raw Data'!D:D, "", 0)</f>
        <v>31.14</v>
      </c>
      <c r="H65" s="9">
        <f t="shared" si="1"/>
        <v>186.84</v>
      </c>
      <c r="I65" s="9" cm="1">
        <f t="array" ref="I65">_xlfn.IFS(E65="Dividend", 0, AND(D65="Buy", E65="Fresh"), -H65, AND(D65="Sell", E65="Fresh"), H65, TRUE, "")</f>
        <v>-186.84</v>
      </c>
      <c r="J65" s="4" t="s">
        <v>26</v>
      </c>
    </row>
    <row r="66" spans="1:10" ht="16.2" thickBot="1" x14ac:dyDescent="0.35">
      <c r="A66" s="20">
        <v>45839</v>
      </c>
      <c r="B66" s="16" t="s">
        <v>22</v>
      </c>
      <c r="C66" s="10" t="s">
        <v>15</v>
      </c>
      <c r="D66" s="10" t="s">
        <v>20</v>
      </c>
      <c r="E66" s="10" t="s">
        <v>21</v>
      </c>
      <c r="F66" s="5" cm="1">
        <f t="array" ref="F66">_xlfn.XLOOKUP(A66&amp;B66,'Raw Data'!A:A &amp; 'Raw Data'!B:B, 'Raw Data'!C:C, "", 0)</f>
        <v>25</v>
      </c>
      <c r="G66" s="6" cm="1">
        <f t="array" ref="G66">_xlfn.XLOOKUP(A66&amp;B66,'Raw Data'!A:A &amp; 'Raw Data'!B:B, 'Raw Data'!D:D, "", 0)</f>
        <v>7.85</v>
      </c>
      <c r="H66" s="12">
        <f t="shared" ref="H66:H97" si="2">IF(A66="", "", F66*G66)</f>
        <v>196.25</v>
      </c>
      <c r="I66" s="12" cm="1">
        <f t="array" ref="I66">_xlfn.IFS(E66="Dividend", 0, AND(D66="Buy", E66="Fresh"), -H66, AND(D66="Sell", E66="Fresh"), H66, TRUE, "")</f>
        <v>-196.25</v>
      </c>
      <c r="J66" s="4" t="s">
        <v>26</v>
      </c>
    </row>
    <row r="67" spans="1:10" ht="16.2" thickBot="1" x14ac:dyDescent="0.35">
      <c r="A67" s="19">
        <v>45839</v>
      </c>
      <c r="B67" s="15" t="s">
        <v>16</v>
      </c>
      <c r="C67" s="7" t="s">
        <v>10</v>
      </c>
      <c r="D67" s="7" t="s">
        <v>20</v>
      </c>
      <c r="E67" s="7" t="s">
        <v>21</v>
      </c>
      <c r="F67" s="5" cm="1">
        <f t="array" ref="F67">_xlfn.XLOOKUP(A67&amp;B67,'Raw Data'!A:A &amp; 'Raw Data'!B:B, 'Raw Data'!C:C, "", 0)</f>
        <v>6</v>
      </c>
      <c r="G67" s="6" cm="1">
        <f t="array" ref="G67">_xlfn.XLOOKUP(A67&amp;B67,'Raw Data'!A:A &amp; 'Raw Data'!B:B, 'Raw Data'!D:D, "", 0)</f>
        <v>29.17</v>
      </c>
      <c r="H67" s="9">
        <f t="shared" si="2"/>
        <v>175.02</v>
      </c>
      <c r="I67" s="9" cm="1">
        <f t="array" ref="I67">_xlfn.IFS(E67="Dividend", 0, AND(D67="Buy", E67="Fresh"), -H67, AND(D67="Sell", E67="Fresh"), H67, TRUE, "")</f>
        <v>-175.02</v>
      </c>
      <c r="J67" s="4" t="s">
        <v>26</v>
      </c>
    </row>
    <row r="68" spans="1:10" ht="16.2" thickBot="1" x14ac:dyDescent="0.35">
      <c r="A68" s="20">
        <v>45839</v>
      </c>
      <c r="B68" s="16" t="s">
        <v>23</v>
      </c>
      <c r="C68" s="10" t="s">
        <v>10</v>
      </c>
      <c r="D68" s="10" t="s">
        <v>20</v>
      </c>
      <c r="E68" s="10" t="s">
        <v>21</v>
      </c>
      <c r="F68" s="5" cm="1">
        <f t="array" ref="F68">_xlfn.XLOOKUP(A68&amp;B68,'Raw Data'!A:A &amp; 'Raw Data'!B:B, 'Raw Data'!C:C, "", 0)</f>
        <v>13</v>
      </c>
      <c r="G68" s="6" cm="1">
        <f t="array" ref="G68">_xlfn.XLOOKUP(A68&amp;B68,'Raw Data'!A:A &amp; 'Raw Data'!B:B, 'Raw Data'!D:D, "", 0)</f>
        <v>14.35</v>
      </c>
      <c r="H68" s="12">
        <f t="shared" si="2"/>
        <v>186.54999999999998</v>
      </c>
      <c r="I68" s="12" cm="1">
        <f t="array" ref="I68">_xlfn.IFS(E68="Dividend", 0, AND(D68="Buy", E68="Fresh"), -H68, AND(D68="Sell", E68="Fresh"), H68, TRUE, "")</f>
        <v>-186.54999999999998</v>
      </c>
      <c r="J68" s="4" t="s">
        <v>26</v>
      </c>
    </row>
    <row r="69" spans="1:10" ht="16.2" thickBot="1" x14ac:dyDescent="0.35">
      <c r="A69" s="19">
        <v>45839</v>
      </c>
      <c r="B69" s="15" t="s">
        <v>17</v>
      </c>
      <c r="C69" s="7" t="s">
        <v>10</v>
      </c>
      <c r="D69" s="7" t="s">
        <v>20</v>
      </c>
      <c r="E69" s="7" t="s">
        <v>21</v>
      </c>
      <c r="F69" s="5" cm="1">
        <f t="array" ref="F69">_xlfn.XLOOKUP(A69&amp;B69,'Raw Data'!A:A &amp; 'Raw Data'!B:B, 'Raw Data'!C:C, "", 0)</f>
        <v>40</v>
      </c>
      <c r="G69" s="6" cm="1">
        <f t="array" ref="G69">_xlfn.XLOOKUP(A69&amp;B69,'Raw Data'!A:A &amp; 'Raw Data'!B:B, 'Raw Data'!D:D, "", 0)</f>
        <v>4.88</v>
      </c>
      <c r="H69" s="9">
        <f t="shared" si="2"/>
        <v>195.2</v>
      </c>
      <c r="I69" s="9" cm="1">
        <f t="array" ref="I69">_xlfn.IFS(E69="Dividend", 0, AND(D69="Buy", E69="Fresh"), -H69, AND(D69="Sell", E69="Fresh"), H69, TRUE, "")</f>
        <v>-195.2</v>
      </c>
      <c r="J69" s="4" t="s">
        <v>26</v>
      </c>
    </row>
    <row r="70" spans="1:10" ht="16.2" thickBot="1" x14ac:dyDescent="0.35">
      <c r="A70" s="20">
        <v>45839</v>
      </c>
      <c r="B70" s="16" t="s">
        <v>18</v>
      </c>
      <c r="C70" s="10" t="s">
        <v>10</v>
      </c>
      <c r="D70" s="10" t="s">
        <v>20</v>
      </c>
      <c r="E70" s="10" t="s">
        <v>21</v>
      </c>
      <c r="F70" s="5" cm="1">
        <f t="array" ref="F70">_xlfn.XLOOKUP(A70&amp;B70,'Raw Data'!A:A &amp; 'Raw Data'!B:B, 'Raw Data'!C:C, "", 0)</f>
        <v>18</v>
      </c>
      <c r="G70" s="6" cm="1">
        <f t="array" ref="G70">_xlfn.XLOOKUP(A70&amp;B70,'Raw Data'!A:A &amp; 'Raw Data'!B:B, 'Raw Data'!D:D, "", 0)</f>
        <v>10.83</v>
      </c>
      <c r="H70" s="12">
        <f t="shared" si="2"/>
        <v>194.94</v>
      </c>
      <c r="I70" s="12" cm="1">
        <f t="array" ref="I70">_xlfn.IFS(E70="Dividend", 0, AND(D70="Buy", E70="Fresh"), -H70, AND(D70="Sell", E70="Fresh"), H70, TRUE, "")</f>
        <v>-194.94</v>
      </c>
      <c r="J70" s="4" t="s">
        <v>26</v>
      </c>
    </row>
    <row r="71" spans="1:10" ht="16.2" thickBot="1" x14ac:dyDescent="0.35">
      <c r="A71" s="19">
        <v>45839</v>
      </c>
      <c r="B71" s="15" t="s">
        <v>19</v>
      </c>
      <c r="C71" s="7" t="s">
        <v>10</v>
      </c>
      <c r="D71" s="7" t="s">
        <v>20</v>
      </c>
      <c r="E71" s="7" t="s">
        <v>21</v>
      </c>
      <c r="F71" s="5" cm="1">
        <f t="array" ref="F71">_xlfn.XLOOKUP(A71&amp;B71,'Raw Data'!A:A &amp; 'Raw Data'!B:B, 'Raw Data'!C:C, "", 0)</f>
        <v>5</v>
      </c>
      <c r="G71" s="6" cm="1">
        <f t="array" ref="G71">_xlfn.XLOOKUP(A71&amp;B71,'Raw Data'!A:A &amp; 'Raw Data'!B:B, 'Raw Data'!D:D, "", 0)</f>
        <v>34.74</v>
      </c>
      <c r="H71" s="9">
        <f t="shared" si="2"/>
        <v>173.70000000000002</v>
      </c>
      <c r="I71" s="9" cm="1">
        <f t="array" ref="I71">_xlfn.IFS(E71="Dividend", 0, AND(D71="Buy", E71="Fresh"), -H71, AND(D71="Sell", E71="Fresh"), H71, TRUE, "")</f>
        <v>-173.70000000000002</v>
      </c>
      <c r="J71" s="4" t="s">
        <v>26</v>
      </c>
    </row>
    <row r="72" spans="1:10" ht="16.2" thickBot="1" x14ac:dyDescent="0.35">
      <c r="A72" s="20">
        <v>45870</v>
      </c>
      <c r="B72" s="16" t="s">
        <v>12</v>
      </c>
      <c r="C72" s="10" t="s">
        <v>10</v>
      </c>
      <c r="D72" s="10" t="s">
        <v>20</v>
      </c>
      <c r="E72" s="10" t="s">
        <v>21</v>
      </c>
      <c r="F72" s="5" cm="1">
        <f t="array" ref="F72">_xlfn.XLOOKUP(A72&amp;B72,'Raw Data'!A:A &amp; 'Raw Data'!B:B, 'Raw Data'!C:C, "", 0)</f>
        <v>7</v>
      </c>
      <c r="G72" s="6" cm="1">
        <f t="array" ref="G72">_xlfn.XLOOKUP(A72&amp;B72,'Raw Data'!A:A &amp; 'Raw Data'!B:B, 'Raw Data'!D:D, "", 0)</f>
        <v>26.4</v>
      </c>
      <c r="H72" s="12">
        <f t="shared" si="2"/>
        <v>184.79999999999998</v>
      </c>
      <c r="I72" s="12" cm="1">
        <f t="array" ref="I72">_xlfn.IFS(E72="Dividend", 0, AND(D72="Buy", E72="Fresh"), -H72, AND(D72="Sell", E72="Fresh"), H72, TRUE, "")</f>
        <v>-184.79999999999998</v>
      </c>
      <c r="J72" s="4" t="s">
        <v>26</v>
      </c>
    </row>
    <row r="73" spans="1:10" ht="16.2" thickBot="1" x14ac:dyDescent="0.35">
      <c r="A73" s="19">
        <v>45870</v>
      </c>
      <c r="B73" s="15" t="s">
        <v>13</v>
      </c>
      <c r="C73" s="7" t="s">
        <v>10</v>
      </c>
      <c r="D73" s="7" t="s">
        <v>20</v>
      </c>
      <c r="E73" s="7" t="s">
        <v>21</v>
      </c>
      <c r="F73" s="5" cm="1">
        <f t="array" ref="F73">_xlfn.XLOOKUP(A73&amp;B73,'Raw Data'!A:A &amp; 'Raw Data'!B:B, 'Raw Data'!C:C, "", 0)</f>
        <v>5</v>
      </c>
      <c r="G73" s="6" cm="1">
        <f t="array" ref="G73">_xlfn.XLOOKUP(A73&amp;B73,'Raw Data'!A:A &amp; 'Raw Data'!B:B, 'Raw Data'!D:D, "", 0)</f>
        <v>39.450000000000003</v>
      </c>
      <c r="H73" s="9">
        <f t="shared" si="2"/>
        <v>197.25</v>
      </c>
      <c r="I73" s="9" cm="1">
        <f t="array" ref="I73">_xlfn.IFS(E73="Dividend", 0, AND(D73="Buy", E73="Fresh"), -H73, AND(D73="Sell", E73="Fresh"), H73, TRUE, "")</f>
        <v>-197.25</v>
      </c>
      <c r="J73" s="4" t="s">
        <v>26</v>
      </c>
    </row>
    <row r="74" spans="1:10" ht="16.2" thickBot="1" x14ac:dyDescent="0.35">
      <c r="A74" s="20">
        <v>45870</v>
      </c>
      <c r="B74" s="16" t="s">
        <v>14</v>
      </c>
      <c r="C74" s="10" t="s">
        <v>10</v>
      </c>
      <c r="D74" s="10" t="s">
        <v>20</v>
      </c>
      <c r="E74" s="10" t="s">
        <v>21</v>
      </c>
      <c r="F74" s="5" cm="1">
        <f t="array" ref="F74">_xlfn.XLOOKUP(A74&amp;B74,'Raw Data'!A:A &amp; 'Raw Data'!B:B, 'Raw Data'!C:C, "", 0)</f>
        <v>14</v>
      </c>
      <c r="G74" s="6" cm="1">
        <f t="array" ref="G74">_xlfn.XLOOKUP(A74&amp;B74,'Raw Data'!A:A &amp; 'Raw Data'!B:B, 'Raw Data'!D:D, "", 0)</f>
        <v>13.75</v>
      </c>
      <c r="H74" s="12">
        <f t="shared" si="2"/>
        <v>192.5</v>
      </c>
      <c r="I74" s="12" cm="1">
        <f t="array" ref="I74">_xlfn.IFS(E74="Dividend", 0, AND(D74="Buy", E74="Fresh"), -H74, AND(D74="Sell", E74="Fresh"), H74, TRUE, "")</f>
        <v>-192.5</v>
      </c>
      <c r="J74" s="4" t="s">
        <v>26</v>
      </c>
    </row>
    <row r="75" spans="1:10" ht="16.2" thickBot="1" x14ac:dyDescent="0.35">
      <c r="A75" s="19">
        <v>45870</v>
      </c>
      <c r="B75" s="15" t="s">
        <v>11</v>
      </c>
      <c r="C75" s="7" t="s">
        <v>10</v>
      </c>
      <c r="D75" s="7" t="s">
        <v>20</v>
      </c>
      <c r="E75" s="7" t="s">
        <v>21</v>
      </c>
      <c r="F75" s="5" cm="1">
        <f t="array" ref="F75">_xlfn.XLOOKUP(A75&amp;B75,'Raw Data'!A:A &amp; 'Raw Data'!B:B, 'Raw Data'!C:C, "", 0)</f>
        <v>6</v>
      </c>
      <c r="G75" s="6" cm="1">
        <f t="array" ref="G75">_xlfn.XLOOKUP(A75&amp;B75,'Raw Data'!A:A &amp; 'Raw Data'!B:B, 'Raw Data'!D:D, "", 0)</f>
        <v>31.5</v>
      </c>
      <c r="H75" s="9">
        <f t="shared" si="2"/>
        <v>189</v>
      </c>
      <c r="I75" s="9" cm="1">
        <f t="array" ref="I75">_xlfn.IFS(E75="Dividend", 0, AND(D75="Buy", E75="Fresh"), -H75, AND(D75="Sell", E75="Fresh"), H75, TRUE, "")</f>
        <v>-189</v>
      </c>
      <c r="J75" s="4" t="s">
        <v>26</v>
      </c>
    </row>
    <row r="76" spans="1:10" ht="16.2" thickBot="1" x14ac:dyDescent="0.35">
      <c r="A76" s="20">
        <v>45870</v>
      </c>
      <c r="B76" s="16" t="s">
        <v>22</v>
      </c>
      <c r="C76" s="10" t="s">
        <v>10</v>
      </c>
      <c r="D76" s="10" t="s">
        <v>20</v>
      </c>
      <c r="E76" s="10" t="s">
        <v>21</v>
      </c>
      <c r="F76" s="5" cm="1">
        <f t="array" ref="F76">_xlfn.XLOOKUP(A76&amp;B76,'Raw Data'!A:A &amp; 'Raw Data'!B:B, 'Raw Data'!C:C, "", 0)</f>
        <v>23</v>
      </c>
      <c r="G76" s="6" cm="1">
        <f t="array" ref="G76">_xlfn.XLOOKUP(A76&amp;B76,'Raw Data'!A:A &amp; 'Raw Data'!B:B, 'Raw Data'!D:D, "", 0)</f>
        <v>8.5</v>
      </c>
      <c r="H76" s="12">
        <f t="shared" si="2"/>
        <v>195.5</v>
      </c>
      <c r="I76" s="12" cm="1">
        <f t="array" ref="I76">_xlfn.IFS(E76="Dividend", 0, AND(D76="Buy", E76="Fresh"), -H76, AND(D76="Sell", E76="Fresh"), H76, TRUE, "")</f>
        <v>-195.5</v>
      </c>
      <c r="J76" s="4" t="s">
        <v>26</v>
      </c>
    </row>
    <row r="77" spans="1:10" ht="16.2" thickBot="1" x14ac:dyDescent="0.35">
      <c r="A77" s="19">
        <v>45870</v>
      </c>
      <c r="B77" s="15" t="s">
        <v>16</v>
      </c>
      <c r="C77" s="7" t="s">
        <v>15</v>
      </c>
      <c r="D77" s="7" t="s">
        <v>20</v>
      </c>
      <c r="E77" s="7" t="s">
        <v>21</v>
      </c>
      <c r="F77" s="5" cm="1">
        <f t="array" ref="F77">_xlfn.XLOOKUP(A77&amp;B77,'Raw Data'!A:A &amp; 'Raw Data'!B:B, 'Raw Data'!C:C, "", 0)</f>
        <v>6</v>
      </c>
      <c r="G77" s="6" cm="1">
        <f t="array" ref="G77">_xlfn.XLOOKUP(A77&amp;B77,'Raw Data'!A:A &amp; 'Raw Data'!B:B, 'Raw Data'!D:D, "", 0)</f>
        <v>30.53</v>
      </c>
      <c r="H77" s="9">
        <f t="shared" si="2"/>
        <v>183.18</v>
      </c>
      <c r="I77" s="9" cm="1">
        <f t="array" ref="I77">_xlfn.IFS(E77="Dividend", 0, AND(D77="Buy", E77="Fresh"), -H77, AND(D77="Sell", E77="Fresh"), H77, TRUE, "")</f>
        <v>-183.18</v>
      </c>
      <c r="J77" s="4" t="s">
        <v>26</v>
      </c>
    </row>
    <row r="78" spans="1:10" ht="16.2" thickBot="1" x14ac:dyDescent="0.35">
      <c r="A78" s="20">
        <v>45870</v>
      </c>
      <c r="B78" s="16" t="s">
        <v>23</v>
      </c>
      <c r="C78" s="10" t="s">
        <v>15</v>
      </c>
      <c r="D78" s="10" t="s">
        <v>20</v>
      </c>
      <c r="E78" s="10" t="s">
        <v>21</v>
      </c>
      <c r="F78" s="5" cm="1">
        <f t="array" ref="F78">_xlfn.XLOOKUP(A78&amp;B78,'Raw Data'!A:A &amp; 'Raw Data'!B:B, 'Raw Data'!C:C, "", 0)</f>
        <v>14</v>
      </c>
      <c r="G78" s="6" cm="1">
        <f t="array" ref="G78">_xlfn.XLOOKUP(A78&amp;B78,'Raw Data'!A:A &amp; 'Raw Data'!B:B, 'Raw Data'!D:D, "", 0)</f>
        <v>14.23</v>
      </c>
      <c r="H78" s="12">
        <f t="shared" si="2"/>
        <v>199.22</v>
      </c>
      <c r="I78" s="12" cm="1">
        <f t="array" ref="I78">_xlfn.IFS(E78="Dividend", 0, AND(D78="Buy", E78="Fresh"), -H78, AND(D78="Sell", E78="Fresh"), H78, TRUE, "")</f>
        <v>-199.22</v>
      </c>
      <c r="J78" s="4" t="s">
        <v>26</v>
      </c>
    </row>
    <row r="79" spans="1:10" ht="16.2" thickBot="1" x14ac:dyDescent="0.35">
      <c r="A79" s="19">
        <v>45870</v>
      </c>
      <c r="B79" s="15" t="s">
        <v>17</v>
      </c>
      <c r="C79" s="7" t="s">
        <v>15</v>
      </c>
      <c r="D79" s="7" t="s">
        <v>20</v>
      </c>
      <c r="E79" s="7" t="s">
        <v>21</v>
      </c>
      <c r="F79" s="5" cm="1">
        <f t="array" ref="F79">_xlfn.XLOOKUP(A79&amp;B79,'Raw Data'!A:A &amp; 'Raw Data'!B:B, 'Raw Data'!C:C, "", 0)</f>
        <v>40</v>
      </c>
      <c r="G79" s="6" cm="1">
        <f t="array" ref="G79">_xlfn.XLOOKUP(A79&amp;B79,'Raw Data'!A:A &amp; 'Raw Data'!B:B, 'Raw Data'!D:D, "", 0)</f>
        <v>4.96</v>
      </c>
      <c r="H79" s="9">
        <f t="shared" si="2"/>
        <v>198.4</v>
      </c>
      <c r="I79" s="9" cm="1">
        <f t="array" ref="I79">_xlfn.IFS(E79="Dividend", 0, AND(D79="Buy", E79="Fresh"), -H79, AND(D79="Sell", E79="Fresh"), H79, TRUE, "")</f>
        <v>-198.4</v>
      </c>
      <c r="J79" s="4" t="s">
        <v>26</v>
      </c>
    </row>
    <row r="80" spans="1:10" ht="16.2" thickBot="1" x14ac:dyDescent="0.35">
      <c r="A80" s="20">
        <v>45870</v>
      </c>
      <c r="B80" s="16" t="s">
        <v>18</v>
      </c>
      <c r="C80" s="10" t="s">
        <v>15</v>
      </c>
      <c r="D80" s="10" t="s">
        <v>20</v>
      </c>
      <c r="E80" s="10" t="s">
        <v>21</v>
      </c>
      <c r="F80" s="5" cm="1">
        <f t="array" ref="F80">_xlfn.XLOOKUP(A80&amp;B80,'Raw Data'!A:A &amp; 'Raw Data'!B:B, 'Raw Data'!C:C, "", 0)</f>
        <v>17</v>
      </c>
      <c r="G80" s="6" cm="1">
        <f t="array" ref="G80">_xlfn.XLOOKUP(A80&amp;B80,'Raw Data'!A:A &amp; 'Raw Data'!B:B, 'Raw Data'!D:D, "", 0)</f>
        <v>11.73</v>
      </c>
      <c r="H80" s="12">
        <f t="shared" si="2"/>
        <v>199.41</v>
      </c>
      <c r="I80" s="12" cm="1">
        <f t="array" ref="I80">_xlfn.IFS(E80="Dividend", 0, AND(D80="Buy", E80="Fresh"), -H80, AND(D80="Sell", E80="Fresh"), H80, TRUE, "")</f>
        <v>-199.41</v>
      </c>
      <c r="J80" s="4" t="s">
        <v>26</v>
      </c>
    </row>
    <row r="81" spans="1:10" ht="16.2" thickBot="1" x14ac:dyDescent="0.35">
      <c r="A81" s="19">
        <v>45870</v>
      </c>
      <c r="B81" s="15" t="s">
        <v>19</v>
      </c>
      <c r="C81" s="7" t="s">
        <v>15</v>
      </c>
      <c r="D81" s="7" t="s">
        <v>20</v>
      </c>
      <c r="E81" s="7" t="s">
        <v>21</v>
      </c>
      <c r="F81" s="5" cm="1">
        <f t="array" ref="F81">_xlfn.XLOOKUP(A81&amp;B81,'Raw Data'!A:A &amp; 'Raw Data'!B:B, 'Raw Data'!C:C, "", 0)</f>
        <v>5</v>
      </c>
      <c r="G81" s="6" cm="1">
        <f t="array" ref="G81">_xlfn.XLOOKUP(A81&amp;B81,'Raw Data'!A:A &amp; 'Raw Data'!B:B, 'Raw Data'!D:D, "", 0)</f>
        <v>35.24</v>
      </c>
      <c r="H81" s="9">
        <f t="shared" si="2"/>
        <v>176.20000000000002</v>
      </c>
      <c r="I81" s="9" cm="1">
        <f t="array" ref="I81">_xlfn.IFS(E81="Dividend", 0, AND(D81="Buy", E81="Fresh"), -H81, AND(D81="Sell", E81="Fresh"), H81, TRUE, "")</f>
        <v>-176.20000000000002</v>
      </c>
      <c r="J81" s="4" t="s">
        <v>26</v>
      </c>
    </row>
    <row r="82" spans="1:10" ht="16.2" thickBot="1" x14ac:dyDescent="0.35">
      <c r="A82" s="20">
        <v>45901</v>
      </c>
      <c r="B82" s="16" t="s">
        <v>12</v>
      </c>
      <c r="C82" s="10" t="s">
        <v>15</v>
      </c>
      <c r="D82" s="10" t="s">
        <v>20</v>
      </c>
      <c r="E82" s="10" t="s">
        <v>21</v>
      </c>
      <c r="F82" s="5" cm="1">
        <f t="array" ref="F82">_xlfn.XLOOKUP(A82&amp;B82,'Raw Data'!A:A &amp; 'Raw Data'!B:B, 'Raw Data'!C:C, "", 0)</f>
        <v>7</v>
      </c>
      <c r="G82" s="6" cm="1">
        <f t="array" ref="G82">_xlfn.XLOOKUP(A82&amp;B82,'Raw Data'!A:A &amp; 'Raw Data'!B:B, 'Raw Data'!D:D, "", 0)</f>
        <v>26.36</v>
      </c>
      <c r="H82" s="12">
        <f t="shared" si="2"/>
        <v>184.51999999999998</v>
      </c>
      <c r="I82" s="12" cm="1">
        <f t="array" ref="I82">_xlfn.IFS(E82="Dividend", 0, AND(D82="Buy", E82="Fresh"), -H82, AND(D82="Sell", E82="Fresh"), H82, TRUE, "")</f>
        <v>-184.51999999999998</v>
      </c>
      <c r="J82" s="4" t="s">
        <v>26</v>
      </c>
    </row>
    <row r="83" spans="1:10" ht="16.2" thickBot="1" x14ac:dyDescent="0.35">
      <c r="A83" s="19">
        <v>45901</v>
      </c>
      <c r="B83" s="15" t="s">
        <v>13</v>
      </c>
      <c r="C83" s="7" t="s">
        <v>15</v>
      </c>
      <c r="D83" s="7" t="s">
        <v>20</v>
      </c>
      <c r="E83" s="7" t="s">
        <v>21</v>
      </c>
      <c r="F83" s="5" cm="1">
        <f t="array" ref="F83">_xlfn.XLOOKUP(A83&amp;B83,'Raw Data'!A:A &amp; 'Raw Data'!B:B, 'Raw Data'!C:C, "", 0)</f>
        <v>4</v>
      </c>
      <c r="G83" s="6" cm="1">
        <f t="array" ref="G83">_xlfn.XLOOKUP(A83&amp;B83,'Raw Data'!A:A &amp; 'Raw Data'!B:B, 'Raw Data'!D:D, "", 0)</f>
        <v>42.7</v>
      </c>
      <c r="H83" s="9">
        <f t="shared" si="2"/>
        <v>170.8</v>
      </c>
      <c r="I83" s="9" cm="1">
        <f t="array" ref="I83">_xlfn.IFS(E83="Dividend", 0, AND(D83="Buy", E83="Fresh"), -H83, AND(D83="Sell", E83="Fresh"), H83, TRUE, "")</f>
        <v>-170.8</v>
      </c>
      <c r="J83" s="4" t="s">
        <v>26</v>
      </c>
    </row>
    <row r="84" spans="1:10" ht="16.2" thickBot="1" x14ac:dyDescent="0.35">
      <c r="A84" s="20">
        <v>45901</v>
      </c>
      <c r="B84" s="16" t="s">
        <v>14</v>
      </c>
      <c r="C84" s="10" t="s">
        <v>15</v>
      </c>
      <c r="D84" s="10" t="s">
        <v>20</v>
      </c>
      <c r="E84" s="10" t="s">
        <v>21</v>
      </c>
      <c r="F84" s="5" cm="1">
        <f t="array" ref="F84">_xlfn.XLOOKUP(A84&amp;B84,'Raw Data'!A:A &amp; 'Raw Data'!B:B, 'Raw Data'!C:C, "", 0)</f>
        <v>13</v>
      </c>
      <c r="G84" s="6" cm="1">
        <f t="array" ref="G84">_xlfn.XLOOKUP(A84&amp;B84,'Raw Data'!A:A &amp; 'Raw Data'!B:B, 'Raw Data'!D:D, "", 0)</f>
        <v>14.58</v>
      </c>
      <c r="H84" s="12">
        <f t="shared" si="2"/>
        <v>189.54</v>
      </c>
      <c r="I84" s="12" cm="1">
        <f t="array" ref="I84">_xlfn.IFS(E84="Dividend", 0, AND(D84="Buy", E84="Fresh"), -H84, AND(D84="Sell", E84="Fresh"), H84, TRUE, "")</f>
        <v>-189.54</v>
      </c>
      <c r="J84" s="4" t="s">
        <v>26</v>
      </c>
    </row>
    <row r="85" spans="1:10" ht="16.2" thickBot="1" x14ac:dyDescent="0.35">
      <c r="A85" s="19">
        <v>45901</v>
      </c>
      <c r="B85" s="15" t="s">
        <v>11</v>
      </c>
      <c r="C85" s="7" t="s">
        <v>15</v>
      </c>
      <c r="D85" s="7" t="s">
        <v>20</v>
      </c>
      <c r="E85" s="7" t="s">
        <v>21</v>
      </c>
      <c r="F85" s="5" cm="1">
        <f t="array" ref="F85">_xlfn.XLOOKUP(A85&amp;B85,'Raw Data'!A:A &amp; 'Raw Data'!B:B, 'Raw Data'!C:C, "", 0)</f>
        <v>6</v>
      </c>
      <c r="G85" s="6" cm="1">
        <f t="array" ref="G85">_xlfn.XLOOKUP(A85&amp;B85,'Raw Data'!A:A &amp; 'Raw Data'!B:B, 'Raw Data'!D:D, "", 0)</f>
        <v>28.8</v>
      </c>
      <c r="H85" s="9">
        <f t="shared" si="2"/>
        <v>172.8</v>
      </c>
      <c r="I85" s="9" cm="1">
        <f t="array" ref="I85">_xlfn.IFS(E85="Dividend", 0, AND(D85="Buy", E85="Fresh"), -H85, AND(D85="Sell", E85="Fresh"), H85, TRUE, "")</f>
        <v>-172.8</v>
      </c>
      <c r="J85" s="4" t="s">
        <v>26</v>
      </c>
    </row>
    <row r="86" spans="1:10" ht="16.2" thickBot="1" x14ac:dyDescent="0.35">
      <c r="A86" s="20">
        <v>45901</v>
      </c>
      <c r="B86" s="16" t="s">
        <v>22</v>
      </c>
      <c r="C86" s="10" t="s">
        <v>15</v>
      </c>
      <c r="D86" s="10" t="s">
        <v>20</v>
      </c>
      <c r="E86" s="10" t="s">
        <v>21</v>
      </c>
      <c r="F86" s="5" cm="1">
        <f t="array" ref="F86">_xlfn.XLOOKUP(A86&amp;B86,'Raw Data'!A:A &amp; 'Raw Data'!B:B, 'Raw Data'!C:C, "", 0)</f>
        <v>25</v>
      </c>
      <c r="G86" s="6" cm="1">
        <f t="array" ref="G86">_xlfn.XLOOKUP(A86&amp;B86,'Raw Data'!A:A &amp; 'Raw Data'!B:B, 'Raw Data'!D:D, "", 0)</f>
        <v>7.78</v>
      </c>
      <c r="H86" s="12">
        <f t="shared" si="2"/>
        <v>194.5</v>
      </c>
      <c r="I86" s="12" cm="1">
        <f t="array" ref="I86">_xlfn.IFS(E86="Dividend", 0, AND(D86="Buy", E86="Fresh"), -H86, AND(D86="Sell", E86="Fresh"), H86, TRUE, "")</f>
        <v>-194.5</v>
      </c>
      <c r="J86" s="4" t="s">
        <v>26</v>
      </c>
    </row>
    <row r="87" spans="1:10" ht="16.2" thickBot="1" x14ac:dyDescent="0.35">
      <c r="A87" s="19">
        <v>45901</v>
      </c>
      <c r="B87" s="15" t="s">
        <v>16</v>
      </c>
      <c r="C87" s="7" t="s">
        <v>10</v>
      </c>
      <c r="D87" s="7" t="s">
        <v>20</v>
      </c>
      <c r="E87" s="7" t="s">
        <v>21</v>
      </c>
      <c r="F87" s="5" cm="1">
        <f t="array" ref="F87">_xlfn.XLOOKUP(A87&amp;B87,'Raw Data'!A:A &amp; 'Raw Data'!B:B, 'Raw Data'!C:C, "", 0)</f>
        <v>5</v>
      </c>
      <c r="G87" s="6" cm="1">
        <f t="array" ref="G87">_xlfn.XLOOKUP(A87&amp;B87,'Raw Data'!A:A &amp; 'Raw Data'!B:B, 'Raw Data'!D:D, "", 0)</f>
        <v>33.74</v>
      </c>
      <c r="H87" s="9">
        <f t="shared" si="2"/>
        <v>168.70000000000002</v>
      </c>
      <c r="I87" s="9" cm="1">
        <f t="array" ref="I87">_xlfn.IFS(E87="Dividend", 0, AND(D87="Buy", E87="Fresh"), -H87, AND(D87="Sell", E87="Fresh"), H87, TRUE, "")</f>
        <v>-168.70000000000002</v>
      </c>
      <c r="J87" s="4" t="s">
        <v>26</v>
      </c>
    </row>
    <row r="88" spans="1:10" ht="16.2" thickBot="1" x14ac:dyDescent="0.35">
      <c r="A88" s="20">
        <v>45901</v>
      </c>
      <c r="B88" s="16" t="s">
        <v>23</v>
      </c>
      <c r="C88" s="10" t="s">
        <v>10</v>
      </c>
      <c r="D88" s="10" t="s">
        <v>20</v>
      </c>
      <c r="E88" s="10" t="s">
        <v>21</v>
      </c>
      <c r="F88" s="5" cm="1">
        <f t="array" ref="F88">_xlfn.XLOOKUP(A88&amp;B88,'Raw Data'!A:A &amp; 'Raw Data'!B:B, 'Raw Data'!C:C, "", 0)</f>
        <v>12</v>
      </c>
      <c r="G88" s="6" cm="1">
        <f t="array" ref="G88">_xlfn.XLOOKUP(A88&amp;B88,'Raw Data'!A:A &amp; 'Raw Data'!B:B, 'Raw Data'!D:D, "", 0)</f>
        <v>16.190000000000001</v>
      </c>
      <c r="H88" s="12">
        <f t="shared" si="2"/>
        <v>194.28000000000003</v>
      </c>
      <c r="I88" s="12" cm="1">
        <f t="array" ref="I88">_xlfn.IFS(E88="Dividend", 0, AND(D88="Buy", E88="Fresh"), -H88, AND(D88="Sell", E88="Fresh"), H88, TRUE, "")</f>
        <v>-194.28000000000003</v>
      </c>
      <c r="J88" s="4" t="s">
        <v>26</v>
      </c>
    </row>
    <row r="89" spans="1:10" ht="16.2" thickBot="1" x14ac:dyDescent="0.35">
      <c r="A89" s="19">
        <v>45901</v>
      </c>
      <c r="B89" s="15" t="s">
        <v>17</v>
      </c>
      <c r="C89" s="7" t="s">
        <v>10</v>
      </c>
      <c r="D89" s="7" t="s">
        <v>20</v>
      </c>
      <c r="E89" s="7" t="s">
        <v>21</v>
      </c>
      <c r="F89" s="5" cm="1">
        <f t="array" ref="F89">_xlfn.XLOOKUP(A89&amp;B89,'Raw Data'!A:A &amp; 'Raw Data'!B:B, 'Raw Data'!C:C, "", 0)</f>
        <v>40</v>
      </c>
      <c r="G89" s="6" cm="1">
        <f t="array" ref="G89">_xlfn.XLOOKUP(A89&amp;B89,'Raw Data'!A:A &amp; 'Raw Data'!B:B, 'Raw Data'!D:D, "", 0)</f>
        <v>4.8899999999999997</v>
      </c>
      <c r="H89" s="9">
        <f t="shared" si="2"/>
        <v>195.6</v>
      </c>
      <c r="I89" s="9" cm="1">
        <f t="array" ref="I89">_xlfn.IFS(E89="Dividend", 0, AND(D89="Buy", E89="Fresh"), -H89, AND(D89="Sell", E89="Fresh"), H89, TRUE, "")</f>
        <v>-195.6</v>
      </c>
      <c r="J89" s="4" t="s">
        <v>26</v>
      </c>
    </row>
    <row r="90" spans="1:10" ht="16.2" thickBot="1" x14ac:dyDescent="0.35">
      <c r="A90" s="20">
        <v>45901</v>
      </c>
      <c r="B90" s="16" t="s">
        <v>18</v>
      </c>
      <c r="C90" s="10" t="s">
        <v>10</v>
      </c>
      <c r="D90" s="10" t="s">
        <v>20</v>
      </c>
      <c r="E90" s="10" t="s">
        <v>21</v>
      </c>
      <c r="F90" s="5" cm="1">
        <f t="array" ref="F90">_xlfn.XLOOKUP(A90&amp;B90,'Raw Data'!A:A &amp; 'Raw Data'!B:B, 'Raw Data'!C:C, "", 0)</f>
        <v>15</v>
      </c>
      <c r="G90" s="6" cm="1">
        <f t="array" ref="G90">_xlfn.XLOOKUP(A90&amp;B90,'Raw Data'!A:A &amp; 'Raw Data'!B:B, 'Raw Data'!D:D, "", 0)</f>
        <v>12.95</v>
      </c>
      <c r="H90" s="12">
        <f t="shared" si="2"/>
        <v>194.25</v>
      </c>
      <c r="I90" s="12" cm="1">
        <f t="array" ref="I90">_xlfn.IFS(E90="Dividend", 0, AND(D90="Buy", E90="Fresh"), -H90, AND(D90="Sell", E90="Fresh"), H90, TRUE, "")</f>
        <v>-194.25</v>
      </c>
      <c r="J90" s="4" t="s">
        <v>26</v>
      </c>
    </row>
    <row r="91" spans="1:10" ht="16.2" thickBot="1" x14ac:dyDescent="0.35">
      <c r="A91" s="19">
        <v>45901</v>
      </c>
      <c r="B91" s="15" t="s">
        <v>19</v>
      </c>
      <c r="C91" s="7"/>
      <c r="D91" s="7" t="s">
        <v>20</v>
      </c>
      <c r="E91" s="7" t="s">
        <v>21</v>
      </c>
      <c r="F91" s="5" cm="1">
        <f t="array" ref="F91">_xlfn.XLOOKUP(A91&amp;B91,'Raw Data'!A:A &amp; 'Raw Data'!B:B, 'Raw Data'!C:C, "", 0)</f>
        <v>5</v>
      </c>
      <c r="G91" s="6" cm="1">
        <f t="array" ref="G91">_xlfn.XLOOKUP(A91&amp;B91,'Raw Data'!A:A &amp; 'Raw Data'!B:B, 'Raw Data'!D:D, "", 0)</f>
        <v>34.25</v>
      </c>
      <c r="H91" s="9">
        <f t="shared" si="2"/>
        <v>171.25</v>
      </c>
      <c r="I91" s="9" cm="1">
        <f t="array" ref="I91">_xlfn.IFS(E91="Dividend", 0, AND(D91="Buy", E91="Fresh"), -H91, AND(D91="Sell", E91="Fresh"), H91, TRUE, "")</f>
        <v>-171.25</v>
      </c>
      <c r="J91" s="4" t="s">
        <v>26</v>
      </c>
    </row>
    <row r="92" spans="1:10" ht="16.2" thickBot="1" x14ac:dyDescent="0.35">
      <c r="A92" s="20">
        <v>45931</v>
      </c>
      <c r="B92" s="16" t="s">
        <v>12</v>
      </c>
      <c r="C92" s="10" t="s">
        <v>10</v>
      </c>
      <c r="D92" s="10" t="s">
        <v>20</v>
      </c>
      <c r="E92" s="10" t="s">
        <v>21</v>
      </c>
      <c r="F92" s="5" cm="1">
        <f t="array" ref="F92">_xlfn.XLOOKUP(A92&amp;B92,'Raw Data'!A:A &amp; 'Raw Data'!B:B, 'Raw Data'!C:C, "", 0)</f>
        <v>8</v>
      </c>
      <c r="G92" s="6" cm="1">
        <f t="array" ref="G92">_xlfn.XLOOKUP(A92&amp;B92,'Raw Data'!A:A &amp; 'Raw Data'!B:B, 'Raw Data'!D:D, "", 0)</f>
        <v>22.81</v>
      </c>
      <c r="H92" s="12">
        <f t="shared" si="2"/>
        <v>182.48</v>
      </c>
      <c r="I92" s="12" cm="1">
        <f t="array" ref="I92">_xlfn.IFS(E92="Dividend", 0, AND(D92="Buy", E92="Fresh"), -H92, AND(D92="Sell", E92="Fresh"), H92, TRUE, "")</f>
        <v>-182.48</v>
      </c>
      <c r="J92" s="4" t="s">
        <v>26</v>
      </c>
    </row>
    <row r="93" spans="1:10" ht="16.2" thickBot="1" x14ac:dyDescent="0.35">
      <c r="A93" s="19">
        <v>45931</v>
      </c>
      <c r="B93" s="15" t="s">
        <v>13</v>
      </c>
      <c r="C93" s="7" t="s">
        <v>10</v>
      </c>
      <c r="D93" s="7" t="s">
        <v>20</v>
      </c>
      <c r="E93" s="7" t="s">
        <v>21</v>
      </c>
      <c r="F93" s="5" cm="1">
        <f t="array" ref="F93">_xlfn.XLOOKUP(A93&amp;B93,'Raw Data'!A:A &amp; 'Raw Data'!B:B, 'Raw Data'!C:C, "", 0)</f>
        <v>4</v>
      </c>
      <c r="G93" s="6" cm="1">
        <f t="array" ref="G93">_xlfn.XLOOKUP(A93&amp;B93,'Raw Data'!A:A &amp; 'Raw Data'!B:B, 'Raw Data'!D:D, "", 0)</f>
        <v>42.05</v>
      </c>
      <c r="H93" s="9">
        <f t="shared" si="2"/>
        <v>168.2</v>
      </c>
      <c r="I93" s="9" cm="1">
        <f t="array" ref="I93">_xlfn.IFS(E93="Dividend", 0, AND(D93="Buy", E93="Fresh"), -H93, AND(D93="Sell", E93="Fresh"), H93, TRUE, "")</f>
        <v>-168.2</v>
      </c>
      <c r="J93" s="4" t="s">
        <v>26</v>
      </c>
    </row>
    <row r="94" spans="1:10" ht="16.2" thickBot="1" x14ac:dyDescent="0.35">
      <c r="A94" s="20">
        <v>45931</v>
      </c>
      <c r="B94" s="16" t="s">
        <v>14</v>
      </c>
      <c r="C94" s="10" t="s">
        <v>10</v>
      </c>
      <c r="D94" s="10" t="s">
        <v>20</v>
      </c>
      <c r="E94" s="10" t="s">
        <v>21</v>
      </c>
      <c r="F94" s="5" cm="1">
        <f t="array" ref="F94">_xlfn.XLOOKUP(A94&amp;B94,'Raw Data'!A:A &amp; 'Raw Data'!B:B, 'Raw Data'!C:C, "", 0)</f>
        <v>14</v>
      </c>
      <c r="G94" s="6" cm="1">
        <f t="array" ref="G94">_xlfn.XLOOKUP(A94&amp;B94,'Raw Data'!A:A &amp; 'Raw Data'!B:B, 'Raw Data'!D:D, "", 0)</f>
        <v>13.79</v>
      </c>
      <c r="H94" s="12">
        <f t="shared" si="2"/>
        <v>193.06</v>
      </c>
      <c r="I94" s="12" cm="1">
        <f t="array" ref="I94">_xlfn.IFS(E94="Dividend", 0, AND(D94="Buy", E94="Fresh"), -H94, AND(D94="Sell", E94="Fresh"), H94, TRUE, "")</f>
        <v>-193.06</v>
      </c>
      <c r="J94" s="4" t="s">
        <v>26</v>
      </c>
    </row>
    <row r="95" spans="1:10" ht="16.2" thickBot="1" x14ac:dyDescent="0.35">
      <c r="A95" s="19">
        <v>45931</v>
      </c>
      <c r="B95" s="15" t="s">
        <v>11</v>
      </c>
      <c r="C95" s="7" t="s">
        <v>10</v>
      </c>
      <c r="D95" s="7" t="s">
        <v>20</v>
      </c>
      <c r="E95" s="7" t="s">
        <v>21</v>
      </c>
      <c r="F95" s="5" cm="1">
        <f t="array" ref="F95">_xlfn.XLOOKUP(A95&amp;B95,'Raw Data'!A:A &amp; 'Raw Data'!B:B, 'Raw Data'!C:C, "", 0)</f>
        <v>7</v>
      </c>
      <c r="G95" s="6" cm="1">
        <f t="array" ref="G95">_xlfn.XLOOKUP(A95&amp;B95,'Raw Data'!A:A &amp; 'Raw Data'!B:B, 'Raw Data'!D:D, "", 0)</f>
        <v>26.66</v>
      </c>
      <c r="H95" s="9">
        <f t="shared" si="2"/>
        <v>186.62</v>
      </c>
      <c r="I95" s="9" cm="1">
        <f t="array" ref="I95">_xlfn.IFS(E95="Dividend", 0, AND(D95="Buy", E95="Fresh"), -H95, AND(D95="Sell", E95="Fresh"), H95, TRUE, "")</f>
        <v>-186.62</v>
      </c>
      <c r="J95" s="4" t="s">
        <v>26</v>
      </c>
    </row>
    <row r="96" spans="1:10" ht="16.2" thickBot="1" x14ac:dyDescent="0.35">
      <c r="A96" s="20">
        <v>45931</v>
      </c>
      <c r="B96" s="16" t="s">
        <v>22</v>
      </c>
      <c r="C96" s="10" t="s">
        <v>10</v>
      </c>
      <c r="D96" s="10" t="s">
        <v>20</v>
      </c>
      <c r="E96" s="10" t="s">
        <v>21</v>
      </c>
      <c r="F96" s="5" cm="1">
        <f t="array" ref="F96">_xlfn.XLOOKUP(A96&amp;B96,'Raw Data'!A:A &amp; 'Raw Data'!B:B, 'Raw Data'!C:C, "", 0)</f>
        <v>33</v>
      </c>
      <c r="G96" s="6" cm="1">
        <f t="array" ref="G96">_xlfn.XLOOKUP(A96&amp;B96,'Raw Data'!A:A &amp; 'Raw Data'!B:B, 'Raw Data'!D:D, "", 0)</f>
        <v>6.02</v>
      </c>
      <c r="H96" s="12">
        <f t="shared" si="2"/>
        <v>198.66</v>
      </c>
      <c r="I96" s="12" cm="1">
        <f t="array" ref="I96">_xlfn.IFS(E96="Dividend", 0, AND(D96="Buy", E96="Fresh"), -H96, AND(D96="Sell", E96="Fresh"), H96, TRUE, "")</f>
        <v>-198.66</v>
      </c>
      <c r="J96" s="4" t="s">
        <v>26</v>
      </c>
    </row>
    <row r="97" spans="1:10" ht="16.2" thickBot="1" x14ac:dyDescent="0.35">
      <c r="A97" s="19">
        <v>45931</v>
      </c>
      <c r="B97" s="15" t="s">
        <v>16</v>
      </c>
      <c r="C97" s="7" t="s">
        <v>15</v>
      </c>
      <c r="D97" s="7" t="s">
        <v>20</v>
      </c>
      <c r="E97" s="7" t="s">
        <v>21</v>
      </c>
      <c r="F97" s="5" cm="1">
        <f t="array" ref="F97">_xlfn.XLOOKUP(A97&amp;B97,'Raw Data'!A:A &amp; 'Raw Data'!B:B, 'Raw Data'!C:C, "", 0)</f>
        <v>6</v>
      </c>
      <c r="G97" s="6" cm="1">
        <f t="array" ref="G97">_xlfn.XLOOKUP(A97&amp;B97,'Raw Data'!A:A &amp; 'Raw Data'!B:B, 'Raw Data'!D:D, "", 0)</f>
        <v>33.049999999999997</v>
      </c>
      <c r="H97" s="9">
        <f t="shared" si="2"/>
        <v>198.29999999999998</v>
      </c>
      <c r="I97" s="9" cm="1">
        <f t="array" ref="I97">_xlfn.IFS(E97="Dividend", 0, AND(D97="Buy", E97="Fresh"), -H97, AND(D97="Sell", E97="Fresh"), H97, TRUE, "")</f>
        <v>-198.29999999999998</v>
      </c>
      <c r="J97" s="4" t="s">
        <v>26</v>
      </c>
    </row>
    <row r="98" spans="1:10" ht="16.2" thickBot="1" x14ac:dyDescent="0.35">
      <c r="A98" s="20">
        <v>45931</v>
      </c>
      <c r="B98" s="16" t="s">
        <v>23</v>
      </c>
      <c r="C98" s="10" t="s">
        <v>15</v>
      </c>
      <c r="D98" s="10" t="s">
        <v>20</v>
      </c>
      <c r="E98" s="10" t="s">
        <v>21</v>
      </c>
      <c r="F98" s="5" cm="1">
        <f t="array" ref="F98">_xlfn.XLOOKUP(A98&amp;B98,'Raw Data'!A:A &amp; 'Raw Data'!B:B, 'Raw Data'!C:C, "", 0)</f>
        <v>12</v>
      </c>
      <c r="G98" s="6" cm="1">
        <f t="array" ref="G98">_xlfn.XLOOKUP(A98&amp;B98,'Raw Data'!A:A &amp; 'Raw Data'!B:B, 'Raw Data'!D:D, "", 0)</f>
        <v>16.600000000000001</v>
      </c>
      <c r="H98" s="12">
        <f t="shared" ref="H98:H129" si="3">IF(A98="", "", F98*G98)</f>
        <v>199.20000000000002</v>
      </c>
      <c r="I98" s="12" cm="1">
        <f t="array" ref="I98">_xlfn.IFS(E98="Dividend", 0, AND(D98="Buy", E98="Fresh"), -H98, AND(D98="Sell", E98="Fresh"), H98, TRUE, "")</f>
        <v>-199.20000000000002</v>
      </c>
      <c r="J98" s="4" t="s">
        <v>26</v>
      </c>
    </row>
    <row r="99" spans="1:10" ht="16.2" thickBot="1" x14ac:dyDescent="0.35">
      <c r="A99" s="19">
        <v>45931</v>
      </c>
      <c r="B99" s="15" t="s">
        <v>17</v>
      </c>
      <c r="C99" s="7" t="s">
        <v>15</v>
      </c>
      <c r="D99" s="7" t="s">
        <v>20</v>
      </c>
      <c r="E99" s="7" t="s">
        <v>21</v>
      </c>
      <c r="F99" s="5" cm="1">
        <f t="array" ref="F99">_xlfn.XLOOKUP(A99&amp;B99,'Raw Data'!A:A &amp; 'Raw Data'!B:B, 'Raw Data'!C:C, "", 0)</f>
        <v>41</v>
      </c>
      <c r="G99" s="6" cm="1">
        <f t="array" ref="G99">_xlfn.XLOOKUP(A99&amp;B99,'Raw Data'!A:A &amp; 'Raw Data'!B:B, 'Raw Data'!D:D, "", 0)</f>
        <v>4.84</v>
      </c>
      <c r="H99" s="9">
        <f t="shared" si="3"/>
        <v>198.44</v>
      </c>
      <c r="I99" s="9" cm="1">
        <f t="array" ref="I99">_xlfn.IFS(E99="Dividend", 0, AND(D99="Buy", E99="Fresh"), -H99, AND(D99="Sell", E99="Fresh"), H99, TRUE, "")</f>
        <v>-198.44</v>
      </c>
      <c r="J99" s="4" t="s">
        <v>26</v>
      </c>
    </row>
    <row r="100" spans="1:10" ht="16.2" thickBot="1" x14ac:dyDescent="0.35">
      <c r="A100" s="20">
        <v>45931</v>
      </c>
      <c r="B100" s="16" t="s">
        <v>18</v>
      </c>
      <c r="C100" s="10" t="s">
        <v>15</v>
      </c>
      <c r="D100" s="10" t="s">
        <v>20</v>
      </c>
      <c r="E100" s="10" t="s">
        <v>21</v>
      </c>
      <c r="F100" s="5" cm="1">
        <f t="array" ref="F100">_xlfn.XLOOKUP(A100&amp;B100,'Raw Data'!A:A &amp; 'Raw Data'!B:B, 'Raw Data'!C:C, "", 0)</f>
        <v>15</v>
      </c>
      <c r="G100" s="6" cm="1">
        <f t="array" ref="G100">_xlfn.XLOOKUP(A100&amp;B100,'Raw Data'!A:A &amp; 'Raw Data'!B:B, 'Raw Data'!D:D, "", 0)</f>
        <v>12.52</v>
      </c>
      <c r="H100" s="12">
        <f t="shared" si="3"/>
        <v>187.79999999999998</v>
      </c>
      <c r="I100" s="12" cm="1">
        <f t="array" ref="I100">_xlfn.IFS(E100="Dividend", 0, AND(D100="Buy", E100="Fresh"), -H100, AND(D100="Sell", E100="Fresh"), H100, TRUE, "")</f>
        <v>-187.79999999999998</v>
      </c>
      <c r="J100" s="4" t="s">
        <v>26</v>
      </c>
    </row>
    <row r="101" spans="1:10" ht="16.2" thickBot="1" x14ac:dyDescent="0.35">
      <c r="A101" s="19">
        <v>45931</v>
      </c>
      <c r="B101" s="15" t="s">
        <v>19</v>
      </c>
      <c r="C101" s="7" t="s">
        <v>15</v>
      </c>
      <c r="D101" s="7" t="s">
        <v>20</v>
      </c>
      <c r="E101" s="7" t="s">
        <v>21</v>
      </c>
      <c r="F101" s="5" cm="1">
        <f t="array" ref="F101">_xlfn.XLOOKUP(A101&amp;B101,'Raw Data'!A:A &amp; 'Raw Data'!B:B, 'Raw Data'!C:C, "", 0)</f>
        <v>6</v>
      </c>
      <c r="G101" s="6" cm="1">
        <f t="array" ref="G101">_xlfn.XLOOKUP(A101&amp;B101,'Raw Data'!A:A &amp; 'Raw Data'!B:B, 'Raw Data'!D:D, "", 0)</f>
        <v>32.67</v>
      </c>
      <c r="H101" s="9">
        <f t="shared" si="3"/>
        <v>196.02</v>
      </c>
      <c r="I101" s="9" cm="1">
        <f t="array" ref="I101">_xlfn.IFS(E101="Dividend", 0, AND(D101="Buy", E101="Fresh"), -H101, AND(D101="Sell", E101="Fresh"), H101, TRUE, "")</f>
        <v>-196.02</v>
      </c>
      <c r="J101" s="4" t="s">
        <v>26</v>
      </c>
    </row>
    <row r="102" spans="1:10" ht="16.2" thickBot="1" x14ac:dyDescent="0.35">
      <c r="A102" s="20">
        <v>45964</v>
      </c>
      <c r="B102" s="16" t="s">
        <v>12</v>
      </c>
      <c r="C102" s="10" t="s">
        <v>15</v>
      </c>
      <c r="D102" s="10" t="s">
        <v>20</v>
      </c>
      <c r="E102" s="10" t="s">
        <v>21</v>
      </c>
      <c r="F102" s="5" cm="1">
        <f t="array" ref="F102">_xlfn.XLOOKUP(A102&amp;B102,'Raw Data'!A:A &amp; 'Raw Data'!B:B, 'Raw Data'!C:C, "", 0)</f>
        <v>8</v>
      </c>
      <c r="G102" s="6" cm="1">
        <f t="array" ref="G102">_xlfn.XLOOKUP(A102&amp;B102,'Raw Data'!A:A &amp; 'Raw Data'!B:B, 'Raw Data'!D:D, "", 0)</f>
        <v>24.8</v>
      </c>
      <c r="H102" s="12">
        <f t="shared" si="3"/>
        <v>198.4</v>
      </c>
      <c r="I102" s="12" cm="1">
        <f t="array" ref="I102">_xlfn.IFS(E102="Dividend", 0, AND(D102="Buy", E102="Fresh"), -H102, AND(D102="Sell", E102="Fresh"), H102, TRUE, "")</f>
        <v>-198.4</v>
      </c>
      <c r="J102" s="4" t="s">
        <v>26</v>
      </c>
    </row>
    <row r="103" spans="1:10" ht="16.2" thickBot="1" x14ac:dyDescent="0.35">
      <c r="A103" s="19">
        <v>45964</v>
      </c>
      <c r="B103" s="15" t="s">
        <v>13</v>
      </c>
      <c r="C103" s="7" t="s">
        <v>15</v>
      </c>
      <c r="D103" s="7" t="s">
        <v>20</v>
      </c>
      <c r="E103" s="7" t="s">
        <v>21</v>
      </c>
      <c r="F103" s="5" cm="1">
        <f t="array" ref="F103">_xlfn.XLOOKUP(A103&amp;B103,'Raw Data'!A:A &amp; 'Raw Data'!B:B, 'Raw Data'!C:C, "", 0)</f>
        <v>4</v>
      </c>
      <c r="G103" s="6" cm="1">
        <f t="array" ref="G103">_xlfn.XLOOKUP(A103&amp;B103,'Raw Data'!A:A &amp; 'Raw Data'!B:B, 'Raw Data'!D:D, "", 0)</f>
        <v>43.45</v>
      </c>
      <c r="H103" s="9">
        <f t="shared" si="3"/>
        <v>173.8</v>
      </c>
      <c r="I103" s="9" cm="1">
        <f t="array" ref="I103">_xlfn.IFS(E103="Dividend", 0, AND(D103="Buy", E103="Fresh"), -H103, AND(D103="Sell", E103="Fresh"), H103, TRUE, "")</f>
        <v>-173.8</v>
      </c>
      <c r="J103" s="4" t="s">
        <v>26</v>
      </c>
    </row>
    <row r="104" spans="1:10" ht="16.2" thickBot="1" x14ac:dyDescent="0.35">
      <c r="A104" s="20">
        <v>45964</v>
      </c>
      <c r="B104" s="16" t="s">
        <v>14</v>
      </c>
      <c r="C104" s="10" t="s">
        <v>15</v>
      </c>
      <c r="D104" s="10" t="s">
        <v>20</v>
      </c>
      <c r="E104" s="10" t="s">
        <v>21</v>
      </c>
      <c r="F104" s="5" cm="1">
        <f t="array" ref="F104">_xlfn.XLOOKUP(A104&amp;B104,'Raw Data'!A:A &amp; 'Raw Data'!B:B, 'Raw Data'!C:C, "", 0)</f>
        <v>13</v>
      </c>
      <c r="G104" s="6" cm="1">
        <f t="array" ref="G104">_xlfn.XLOOKUP(A104&amp;B104,'Raw Data'!A:A &amp; 'Raw Data'!B:B, 'Raw Data'!D:D, "", 0)</f>
        <v>14.48</v>
      </c>
      <c r="H104" s="12">
        <f t="shared" si="3"/>
        <v>188.24</v>
      </c>
      <c r="I104" s="12" cm="1">
        <f t="array" ref="I104">_xlfn.IFS(E104="Dividend", 0, AND(D104="Buy", E104="Fresh"), -H104, AND(D104="Sell", E104="Fresh"), H104, TRUE, "")</f>
        <v>-188.24</v>
      </c>
      <c r="J104" s="4" t="s">
        <v>26</v>
      </c>
    </row>
    <row r="105" spans="1:10" ht="16.2" thickBot="1" x14ac:dyDescent="0.35">
      <c r="A105" s="19">
        <v>45964</v>
      </c>
      <c r="B105" s="15" t="s">
        <v>11</v>
      </c>
      <c r="C105" s="7" t="s">
        <v>15</v>
      </c>
      <c r="D105" s="7" t="s">
        <v>20</v>
      </c>
      <c r="E105" s="7" t="s">
        <v>21</v>
      </c>
      <c r="F105" s="5" cm="1">
        <f t="array" ref="F105">_xlfn.XLOOKUP(A105&amp;B105,'Raw Data'!A:A &amp; 'Raw Data'!B:B, 'Raw Data'!C:C, "", 0)</f>
        <v>7</v>
      </c>
      <c r="G105" s="6" cm="1">
        <f t="array" ref="G105">_xlfn.XLOOKUP(A105&amp;B105,'Raw Data'!A:A &amp; 'Raw Data'!B:B, 'Raw Data'!D:D, "", 0)</f>
        <v>28.39</v>
      </c>
      <c r="H105" s="9">
        <f t="shared" si="3"/>
        <v>198.73000000000002</v>
      </c>
      <c r="I105" s="9" cm="1">
        <f t="array" ref="I105">_xlfn.IFS(E105="Dividend", 0, AND(D105="Buy", E105="Fresh"), -H105, AND(D105="Sell", E105="Fresh"), H105, TRUE, "")</f>
        <v>-198.73000000000002</v>
      </c>
      <c r="J105" s="4" t="s">
        <v>26</v>
      </c>
    </row>
    <row r="106" spans="1:10" ht="16.2" thickBot="1" x14ac:dyDescent="0.35">
      <c r="A106" s="20">
        <v>45964</v>
      </c>
      <c r="B106" s="16" t="s">
        <v>22</v>
      </c>
      <c r="C106" s="10" t="s">
        <v>15</v>
      </c>
      <c r="D106" s="10" t="s">
        <v>20</v>
      </c>
      <c r="E106" s="10" t="s">
        <v>21</v>
      </c>
      <c r="F106" s="5" cm="1">
        <f t="array" ref="F106">_xlfn.XLOOKUP(A106&amp;B106,'Raw Data'!A:A &amp; 'Raw Data'!B:B, 'Raw Data'!C:C, "", 0)</f>
        <v>27</v>
      </c>
      <c r="G106" s="6" cm="1">
        <f t="array" ref="G106">_xlfn.XLOOKUP(A106&amp;B106,'Raw Data'!A:A &amp; 'Raw Data'!B:B, 'Raw Data'!D:D, "", 0)</f>
        <v>7.37</v>
      </c>
      <c r="H106" s="12">
        <f t="shared" si="3"/>
        <v>198.99</v>
      </c>
      <c r="I106" s="12" cm="1">
        <f t="array" ref="I106">_xlfn.IFS(E106="Dividend", 0, AND(D106="Buy", E106="Fresh"), -H106, AND(D106="Sell", E106="Fresh"), H106, TRUE, "")</f>
        <v>-198.99</v>
      </c>
      <c r="J106" s="4" t="s">
        <v>26</v>
      </c>
    </row>
    <row r="107" spans="1:10" ht="16.2" thickBot="1" x14ac:dyDescent="0.35">
      <c r="A107" s="19">
        <v>45964</v>
      </c>
      <c r="B107" s="15" t="s">
        <v>16</v>
      </c>
      <c r="C107" s="7" t="s">
        <v>10</v>
      </c>
      <c r="D107" s="7" t="s">
        <v>20</v>
      </c>
      <c r="E107" s="7" t="s">
        <v>21</v>
      </c>
      <c r="F107" s="5" cm="1">
        <f t="array" ref="F107">_xlfn.XLOOKUP(A107&amp;B107,'Raw Data'!A:A &amp; 'Raw Data'!B:B, 'Raw Data'!C:C, "", 0)</f>
        <v>5</v>
      </c>
      <c r="G107" s="6" cm="1">
        <f t="array" ref="G107">_xlfn.XLOOKUP(A107&amp;B107,'Raw Data'!A:A &amp; 'Raw Data'!B:B, 'Raw Data'!D:D, "", 0)</f>
        <v>36.5</v>
      </c>
      <c r="H107" s="9">
        <f t="shared" si="3"/>
        <v>182.5</v>
      </c>
      <c r="I107" s="9" cm="1">
        <f t="array" ref="I107">_xlfn.IFS(E107="Dividend", 0, AND(D107="Buy", E107="Fresh"), -H107, AND(D107="Sell", E107="Fresh"), H107, TRUE, "")</f>
        <v>-182.5</v>
      </c>
      <c r="J107" s="4" t="s">
        <v>26</v>
      </c>
    </row>
    <row r="108" spans="1:10" ht="16.2" thickBot="1" x14ac:dyDescent="0.35">
      <c r="A108" s="20">
        <v>45964</v>
      </c>
      <c r="B108" s="16" t="s">
        <v>23</v>
      </c>
      <c r="C108" s="10" t="s">
        <v>10</v>
      </c>
      <c r="D108" s="10" t="s">
        <v>20</v>
      </c>
      <c r="E108" s="10" t="s">
        <v>21</v>
      </c>
      <c r="F108" s="5" cm="1">
        <f t="array" ref="F108">_xlfn.XLOOKUP(A108&amp;B108,'Raw Data'!A:A &amp; 'Raw Data'!B:B, 'Raw Data'!C:C, "", 0)</f>
        <v>12</v>
      </c>
      <c r="G108" s="6" cm="1">
        <f t="array" ref="G108">_xlfn.XLOOKUP(A108&amp;B108,'Raw Data'!A:A &amp; 'Raw Data'!B:B, 'Raw Data'!D:D, "", 0)</f>
        <v>15.55</v>
      </c>
      <c r="H108" s="12">
        <f t="shared" si="3"/>
        <v>186.60000000000002</v>
      </c>
      <c r="I108" s="12" cm="1">
        <f t="array" ref="I108">_xlfn.IFS(E108="Dividend", 0, AND(D108="Buy", E108="Fresh"), -H108, AND(D108="Sell", E108="Fresh"), H108, TRUE, "")</f>
        <v>-186.60000000000002</v>
      </c>
      <c r="J108" s="4" t="s">
        <v>26</v>
      </c>
    </row>
    <row r="109" spans="1:10" ht="16.2" thickBot="1" x14ac:dyDescent="0.35">
      <c r="A109" s="19">
        <v>45964</v>
      </c>
      <c r="B109" s="15" t="s">
        <v>17</v>
      </c>
      <c r="C109" s="7" t="s">
        <v>10</v>
      </c>
      <c r="D109" s="7" t="s">
        <v>20</v>
      </c>
      <c r="E109" s="7" t="s">
        <v>21</v>
      </c>
      <c r="F109" s="5" cm="1">
        <f t="array" ref="F109">_xlfn.XLOOKUP(A109&amp;B109,'Raw Data'!A:A &amp; 'Raw Data'!B:B, 'Raw Data'!C:C, "", 0)</f>
        <v>41</v>
      </c>
      <c r="G109" s="6" cm="1">
        <f t="array" ref="G109">_xlfn.XLOOKUP(A109&amp;B109,'Raw Data'!A:A &amp; 'Raw Data'!B:B, 'Raw Data'!D:D, "", 0)</f>
        <v>4.87</v>
      </c>
      <c r="H109" s="9">
        <f t="shared" si="3"/>
        <v>199.67000000000002</v>
      </c>
      <c r="I109" s="9" cm="1">
        <f t="array" ref="I109">_xlfn.IFS(E109="Dividend", 0, AND(D109="Buy", E109="Fresh"), -H109, AND(D109="Sell", E109="Fresh"), H109, TRUE, "")</f>
        <v>-199.67000000000002</v>
      </c>
      <c r="J109" s="4" t="s">
        <v>26</v>
      </c>
    </row>
    <row r="110" spans="1:10" ht="16.2" thickBot="1" x14ac:dyDescent="0.35">
      <c r="A110" s="20">
        <v>45964</v>
      </c>
      <c r="B110" s="16" t="s">
        <v>18</v>
      </c>
      <c r="C110" s="10" t="s">
        <v>10</v>
      </c>
      <c r="D110" s="10" t="s">
        <v>20</v>
      </c>
      <c r="E110" s="10" t="s">
        <v>21</v>
      </c>
      <c r="F110" s="5" cm="1">
        <f t="array" ref="F110">_xlfn.XLOOKUP(A110&amp;B110,'Raw Data'!A:A &amp; 'Raw Data'!B:B, 'Raw Data'!C:C, "", 0)</f>
        <v>16</v>
      </c>
      <c r="G110" s="6" cm="1">
        <f t="array" ref="G110">_xlfn.XLOOKUP(A110&amp;B110,'Raw Data'!A:A &amp; 'Raw Data'!B:B, 'Raw Data'!D:D, "", 0)</f>
        <v>12.35</v>
      </c>
      <c r="H110" s="12">
        <f t="shared" si="3"/>
        <v>197.6</v>
      </c>
      <c r="I110" s="12" cm="1">
        <f t="array" ref="I110">_xlfn.IFS(E110="Dividend", 0, AND(D110="Buy", E110="Fresh"), -H110, AND(D110="Sell", E110="Fresh"), H110, TRUE, "")</f>
        <v>-197.6</v>
      </c>
      <c r="J110" s="4" t="s">
        <v>26</v>
      </c>
    </row>
    <row r="111" spans="1:10" ht="16.2" thickBot="1" x14ac:dyDescent="0.35">
      <c r="A111" s="19">
        <v>45964</v>
      </c>
      <c r="B111" s="15" t="s">
        <v>19</v>
      </c>
      <c r="C111" s="7" t="s">
        <v>10</v>
      </c>
      <c r="D111" s="7" t="s">
        <v>20</v>
      </c>
      <c r="E111" s="7" t="s">
        <v>21</v>
      </c>
      <c r="F111" s="5" cm="1">
        <f t="array" ref="F111">_xlfn.XLOOKUP(A111&amp;B111,'Raw Data'!A:A &amp; 'Raw Data'!B:B, 'Raw Data'!C:C, "", 0)</f>
        <v>6</v>
      </c>
      <c r="G111" s="6" cm="1">
        <f t="array" ref="G111">_xlfn.XLOOKUP(A111&amp;B111,'Raw Data'!A:A &amp; 'Raw Data'!B:B, 'Raw Data'!D:D, "", 0)</f>
        <v>32.75</v>
      </c>
      <c r="H111" s="9">
        <f t="shared" si="3"/>
        <v>196.5</v>
      </c>
      <c r="I111" s="9" cm="1">
        <f t="array" ref="I111">_xlfn.IFS(E111="Dividend", 0, AND(D111="Buy", E111="Fresh"), -H111, AND(D111="Sell", E111="Fresh"), H111, TRUE, "")</f>
        <v>-196.5</v>
      </c>
      <c r="J111" s="4" t="s">
        <v>26</v>
      </c>
    </row>
    <row r="112" spans="1:10" ht="16.2" thickBot="1" x14ac:dyDescent="0.35">
      <c r="A112" s="20">
        <v>45992</v>
      </c>
      <c r="B112" s="16" t="s">
        <v>12</v>
      </c>
      <c r="C112" s="10" t="s">
        <v>10</v>
      </c>
      <c r="D112" s="10" t="s">
        <v>20</v>
      </c>
      <c r="E112" s="10" t="s">
        <v>21</v>
      </c>
      <c r="F112" s="5" cm="1">
        <f t="array" ref="F112">_xlfn.XLOOKUP(A112&amp;B112,'Raw Data'!A:A &amp; 'Raw Data'!B:B, 'Raw Data'!C:C, "", 0)</f>
        <v>8</v>
      </c>
      <c r="G112" s="6" cm="1">
        <f t="array" ref="G112">_xlfn.XLOOKUP(A112&amp;B112,'Raw Data'!A:A &amp; 'Raw Data'!B:B, 'Raw Data'!D:D, "", 0)</f>
        <v>24.93</v>
      </c>
      <c r="H112" s="12">
        <f t="shared" si="3"/>
        <v>199.44</v>
      </c>
      <c r="I112" s="12" cm="1">
        <f t="array" ref="I112">_xlfn.IFS(E112="Dividend", 0, AND(D112="Buy", E112="Fresh"), -H112, AND(D112="Sell", E112="Fresh"), H112, TRUE, "")</f>
        <v>-199.44</v>
      </c>
      <c r="J112" s="4" t="s">
        <v>26</v>
      </c>
    </row>
    <row r="113" spans="1:10" ht="16.2" thickBot="1" x14ac:dyDescent="0.35">
      <c r="A113" s="19">
        <v>45992</v>
      </c>
      <c r="B113" s="15" t="s">
        <v>13</v>
      </c>
      <c r="C113" s="7" t="s">
        <v>10</v>
      </c>
      <c r="D113" s="7" t="s">
        <v>20</v>
      </c>
      <c r="E113" s="7" t="s">
        <v>21</v>
      </c>
      <c r="F113" s="5" cm="1">
        <f t="array" ref="F113">_xlfn.XLOOKUP(A113&amp;B113,'Raw Data'!A:A &amp; 'Raw Data'!B:B, 'Raw Data'!C:C, "", 0)</f>
        <v>4</v>
      </c>
      <c r="G113" s="6" cm="1">
        <f t="array" ref="G113">_xlfn.XLOOKUP(A113&amp;B113,'Raw Data'!A:A &amp; 'Raw Data'!B:B, 'Raw Data'!D:D, "", 0)</f>
        <v>41.99</v>
      </c>
      <c r="H113" s="9">
        <f t="shared" si="3"/>
        <v>167.96</v>
      </c>
      <c r="I113" s="9" cm="1">
        <f t="array" ref="I113">_xlfn.IFS(E113="Dividend", 0, AND(D113="Buy", E113="Fresh"), -H113, AND(D113="Sell", E113="Fresh"), H113, TRUE, "")</f>
        <v>-167.96</v>
      </c>
      <c r="J113" s="4" t="s">
        <v>26</v>
      </c>
    </row>
    <row r="114" spans="1:10" ht="16.2" thickBot="1" x14ac:dyDescent="0.35">
      <c r="A114" s="20">
        <v>45992</v>
      </c>
      <c r="B114" s="16" t="s">
        <v>14</v>
      </c>
      <c r="C114" s="10" t="s">
        <v>10</v>
      </c>
      <c r="D114" s="10" t="s">
        <v>20</v>
      </c>
      <c r="E114" s="10" t="s">
        <v>21</v>
      </c>
      <c r="F114" s="5" cm="1">
        <f t="array" ref="F114">_xlfn.XLOOKUP(A114&amp;B114,'Raw Data'!A:A &amp; 'Raw Data'!B:B, 'Raw Data'!C:C, "", 0)</f>
        <v>13</v>
      </c>
      <c r="G114" s="6" cm="1">
        <f t="array" ref="G114">_xlfn.XLOOKUP(A114&amp;B114,'Raw Data'!A:A &amp; 'Raw Data'!B:B, 'Raw Data'!D:D, "", 0)</f>
        <v>15</v>
      </c>
      <c r="H114" s="12">
        <f t="shared" si="3"/>
        <v>195</v>
      </c>
      <c r="I114" s="12" cm="1">
        <f t="array" ref="I114">_xlfn.IFS(E114="Dividend", 0, AND(D114="Buy", E114="Fresh"), -H114, AND(D114="Sell", E114="Fresh"), H114, TRUE, "")</f>
        <v>-195</v>
      </c>
      <c r="J114" s="4" t="s">
        <v>26</v>
      </c>
    </row>
    <row r="115" spans="1:10" ht="16.2" thickBot="1" x14ac:dyDescent="0.35">
      <c r="A115" s="19">
        <v>45992</v>
      </c>
      <c r="B115" s="15" t="s">
        <v>11</v>
      </c>
      <c r="C115" s="7" t="s">
        <v>10</v>
      </c>
      <c r="D115" s="7" t="s">
        <v>20</v>
      </c>
      <c r="E115" s="7" t="s">
        <v>21</v>
      </c>
      <c r="F115" s="5" cm="1">
        <f t="array" ref="F115">_xlfn.XLOOKUP(A115&amp;B115,'Raw Data'!A:A &amp; 'Raw Data'!B:B, 'Raw Data'!C:C, "", 0)</f>
        <v>6</v>
      </c>
      <c r="G115" s="6" cm="1">
        <f t="array" ref="G115">_xlfn.XLOOKUP(A115&amp;B115,'Raw Data'!A:A &amp; 'Raw Data'!B:B, 'Raw Data'!D:D, "", 0)</f>
        <v>29.05</v>
      </c>
      <c r="H115" s="9">
        <f t="shared" si="3"/>
        <v>174.3</v>
      </c>
      <c r="I115" s="9" cm="1">
        <f t="array" ref="I115">_xlfn.IFS(E115="Dividend", 0, AND(D115="Buy", E115="Fresh"), -H115, AND(D115="Sell", E115="Fresh"), H115, TRUE, "")</f>
        <v>-174.3</v>
      </c>
      <c r="J115" s="4" t="s">
        <v>26</v>
      </c>
    </row>
    <row r="116" spans="1:10" ht="16.2" thickBot="1" x14ac:dyDescent="0.35">
      <c r="A116" s="20">
        <v>45992</v>
      </c>
      <c r="B116" s="16" t="s">
        <v>22</v>
      </c>
      <c r="C116" s="10" t="s">
        <v>10</v>
      </c>
      <c r="D116" s="10" t="s">
        <v>20</v>
      </c>
      <c r="E116" s="10" t="s">
        <v>21</v>
      </c>
      <c r="F116" s="5" cm="1">
        <f t="array" ref="F116">_xlfn.XLOOKUP(A116&amp;B116,'Raw Data'!A:A &amp; 'Raw Data'!B:B, 'Raw Data'!C:C, "", 0)</f>
        <v>25</v>
      </c>
      <c r="G116" s="6" cm="1">
        <f t="array" ref="G116">_xlfn.XLOOKUP(A116&amp;B116,'Raw Data'!A:A &amp; 'Raw Data'!B:B, 'Raw Data'!D:D, "", 0)</f>
        <v>7.92</v>
      </c>
      <c r="H116" s="12">
        <f t="shared" si="3"/>
        <v>198</v>
      </c>
      <c r="I116" s="12" cm="1">
        <f t="array" ref="I116">_xlfn.IFS(E116="Dividend", 0, AND(D116="Buy", E116="Fresh"), -H116, AND(D116="Sell", E116="Fresh"), H116, TRUE, "")</f>
        <v>-198</v>
      </c>
      <c r="J116" s="4" t="s">
        <v>26</v>
      </c>
    </row>
    <row r="117" spans="1:10" ht="16.2" thickBot="1" x14ac:dyDescent="0.35">
      <c r="A117" s="19">
        <v>45992</v>
      </c>
      <c r="B117" s="15" t="s">
        <v>16</v>
      </c>
      <c r="C117" s="7" t="s">
        <v>15</v>
      </c>
      <c r="D117" s="7" t="s">
        <v>20</v>
      </c>
      <c r="E117" s="7" t="s">
        <v>21</v>
      </c>
      <c r="F117" s="5" cm="1">
        <f t="array" ref="F117">_xlfn.XLOOKUP(A117&amp;B117,'Raw Data'!A:A &amp; 'Raw Data'!B:B, 'Raw Data'!C:C, "", 0)</f>
        <v>5</v>
      </c>
      <c r="G117" s="6" cm="1">
        <f t="array" ref="G117">_xlfn.XLOOKUP(A117&amp;B117,'Raw Data'!A:A &amp; 'Raw Data'!B:B, 'Raw Data'!D:D, "", 0)</f>
        <v>34.4</v>
      </c>
      <c r="H117" s="9">
        <f t="shared" si="3"/>
        <v>172</v>
      </c>
      <c r="I117" s="9" cm="1">
        <f t="array" ref="I117">_xlfn.IFS(E117="Dividend", 0, AND(D117="Buy", E117="Fresh"), -H117, AND(D117="Sell", E117="Fresh"), H117, TRUE, "")</f>
        <v>-172</v>
      </c>
      <c r="J117" s="4" t="s">
        <v>26</v>
      </c>
    </row>
    <row r="118" spans="1:10" ht="16.2" thickBot="1" x14ac:dyDescent="0.35">
      <c r="A118" s="20">
        <v>45992</v>
      </c>
      <c r="B118" s="16" t="s">
        <v>23</v>
      </c>
      <c r="C118" s="10" t="s">
        <v>15</v>
      </c>
      <c r="D118" s="10" t="s">
        <v>20</v>
      </c>
      <c r="E118" s="10" t="s">
        <v>21</v>
      </c>
      <c r="F118" s="5" cm="1">
        <f t="array" ref="F118">_xlfn.XLOOKUP(A118&amp;B118,'Raw Data'!A:A &amp; 'Raw Data'!B:B, 'Raw Data'!C:C, "", 0)</f>
        <v>14</v>
      </c>
      <c r="G118" s="6" cm="1">
        <f t="array" ref="G118">_xlfn.XLOOKUP(A118&amp;B118,'Raw Data'!A:A &amp; 'Raw Data'!B:B, 'Raw Data'!D:D, "", 0)</f>
        <v>13.6</v>
      </c>
      <c r="H118" s="12">
        <f t="shared" si="3"/>
        <v>190.4</v>
      </c>
      <c r="I118" s="12" cm="1">
        <f t="array" ref="I118">_xlfn.IFS(E118="Dividend", 0, AND(D118="Buy", E118="Fresh"), -H118, AND(D118="Sell", E118="Fresh"), H118, TRUE, "")</f>
        <v>-190.4</v>
      </c>
      <c r="J118" s="4" t="s">
        <v>26</v>
      </c>
    </row>
    <row r="119" spans="1:10" ht="16.2" thickBot="1" x14ac:dyDescent="0.35">
      <c r="A119" s="19">
        <v>45992</v>
      </c>
      <c r="B119" s="15" t="s">
        <v>17</v>
      </c>
      <c r="C119" s="7" t="s">
        <v>15</v>
      </c>
      <c r="D119" s="7" t="s">
        <v>20</v>
      </c>
      <c r="E119" s="7" t="s">
        <v>21</v>
      </c>
      <c r="F119" s="5" cm="1">
        <f t="array" ref="F119">_xlfn.XLOOKUP(A119&amp;B119,'Raw Data'!A:A &amp; 'Raw Data'!B:B, 'Raw Data'!C:C, "", 0)</f>
        <v>40</v>
      </c>
      <c r="G119" s="6" cm="1">
        <f t="array" ref="G119">_xlfn.XLOOKUP(A119&amp;B119,'Raw Data'!A:A &amp; 'Raw Data'!B:B, 'Raw Data'!D:D, "", 0)</f>
        <v>4.91</v>
      </c>
      <c r="H119" s="9">
        <f t="shared" si="3"/>
        <v>196.4</v>
      </c>
      <c r="I119" s="9" cm="1">
        <f t="array" ref="I119">_xlfn.IFS(E119="Dividend", 0, AND(D119="Buy", E119="Fresh"), -H119, AND(D119="Sell", E119="Fresh"), H119, TRUE, "")</f>
        <v>-196.4</v>
      </c>
      <c r="J119" s="4" t="s">
        <v>26</v>
      </c>
    </row>
    <row r="120" spans="1:10" ht="16.2" thickBot="1" x14ac:dyDescent="0.35">
      <c r="A120" s="20">
        <v>45992</v>
      </c>
      <c r="B120" s="16" t="s">
        <v>18</v>
      </c>
      <c r="C120" s="10" t="s">
        <v>15</v>
      </c>
      <c r="D120" s="10" t="s">
        <v>20</v>
      </c>
      <c r="E120" s="10" t="s">
        <v>21</v>
      </c>
      <c r="F120" s="5" cm="1">
        <f t="array" ref="F120">_xlfn.XLOOKUP(A120&amp;B120,'Raw Data'!A:A &amp; 'Raw Data'!B:B, 'Raw Data'!C:C, "", 0)</f>
        <v>17</v>
      </c>
      <c r="G120" s="6" cm="1">
        <f t="array" ref="G120">_xlfn.XLOOKUP(A120&amp;B120,'Raw Data'!A:A &amp; 'Raw Data'!B:B, 'Raw Data'!D:D, "", 0)</f>
        <v>11.71</v>
      </c>
      <c r="H120" s="12">
        <f t="shared" si="3"/>
        <v>199.07000000000002</v>
      </c>
      <c r="I120" s="12" cm="1">
        <f t="array" ref="I120">_xlfn.IFS(E120="Dividend", 0, AND(D120="Buy", E120="Fresh"), -H120, AND(D120="Sell", E120="Fresh"), H120, TRUE, "")</f>
        <v>-199.07000000000002</v>
      </c>
      <c r="J120" s="4" t="s">
        <v>26</v>
      </c>
    </row>
    <row r="121" spans="1:10" ht="16.2" thickBot="1" x14ac:dyDescent="0.35">
      <c r="A121" s="19">
        <v>45992</v>
      </c>
      <c r="B121" s="15" t="s">
        <v>19</v>
      </c>
      <c r="C121" s="7" t="s">
        <v>15</v>
      </c>
      <c r="D121" s="7" t="s">
        <v>20</v>
      </c>
      <c r="E121" s="7" t="s">
        <v>21</v>
      </c>
      <c r="F121" s="5" cm="1">
        <f t="array" ref="F121">_xlfn.XLOOKUP(A121&amp;B121,'Raw Data'!A:A &amp; 'Raw Data'!B:B, 'Raw Data'!C:C, "", 0)</f>
        <v>6</v>
      </c>
      <c r="G121" s="6" cm="1">
        <f t="array" ref="G121">_xlfn.XLOOKUP(A121&amp;B121,'Raw Data'!A:A &amp; 'Raw Data'!B:B, 'Raw Data'!D:D, "", 0)</f>
        <v>29.7</v>
      </c>
      <c r="H121" s="9">
        <f t="shared" si="3"/>
        <v>178.2</v>
      </c>
      <c r="I121" s="9" cm="1">
        <f t="array" ref="I121">_xlfn.IFS(E121="Dividend", 0, AND(D121="Buy", E121="Fresh"), -H121, AND(D121="Sell", E121="Fresh"), H121, TRUE, "")</f>
        <v>-178.2</v>
      </c>
      <c r="J121" s="4" t="s">
        <v>26</v>
      </c>
    </row>
    <row r="122" spans="1:10" ht="16.2" thickBot="1" x14ac:dyDescent="0.35">
      <c r="A122" s="20">
        <v>46024</v>
      </c>
      <c r="B122" s="16" t="s">
        <v>12</v>
      </c>
      <c r="C122" s="10" t="s">
        <v>15</v>
      </c>
      <c r="D122" s="10" t="s">
        <v>20</v>
      </c>
      <c r="E122" s="10" t="s">
        <v>21</v>
      </c>
      <c r="F122" s="5" cm="1">
        <f t="array" ref="F122">_xlfn.XLOOKUP(A122&amp;B122,'Raw Data'!A:A &amp; 'Raw Data'!B:B, 'Raw Data'!C:C, "", 0)</f>
        <v>8</v>
      </c>
      <c r="G122" s="6" cm="1">
        <f t="array" ref="G122">_xlfn.XLOOKUP(A122&amp;B122,'Raw Data'!A:A &amp; 'Raw Data'!B:B, 'Raw Data'!D:D, "", 0)</f>
        <v>23.73</v>
      </c>
      <c r="H122" s="12">
        <f t="shared" si="3"/>
        <v>189.84</v>
      </c>
      <c r="I122" s="12" cm="1">
        <f t="array" ref="I122">_xlfn.IFS(E122="Dividend", 0, AND(D122="Buy", E122="Fresh"), -H122, AND(D122="Sell", E122="Fresh"), H122, TRUE, "")</f>
        <v>-189.84</v>
      </c>
      <c r="J122" s="4" t="s">
        <v>26</v>
      </c>
    </row>
    <row r="123" spans="1:10" ht="16.2" thickBot="1" x14ac:dyDescent="0.35">
      <c r="A123" s="19">
        <v>46024</v>
      </c>
      <c r="B123" s="15" t="s">
        <v>13</v>
      </c>
      <c r="C123" s="7" t="s">
        <v>15</v>
      </c>
      <c r="D123" s="7" t="s">
        <v>20</v>
      </c>
      <c r="E123" s="7" t="s">
        <v>21</v>
      </c>
      <c r="F123" s="5" cm="1">
        <f t="array" ref="F123">_xlfn.XLOOKUP(A123&amp;B123,'Raw Data'!A:A &amp; 'Raw Data'!B:B, 'Raw Data'!C:C, "", 0)</f>
        <v>4</v>
      </c>
      <c r="G123" s="6" cm="1">
        <f t="array" ref="G123">_xlfn.XLOOKUP(A123&amp;B123,'Raw Data'!A:A &amp; 'Raw Data'!B:B, 'Raw Data'!D:D, "", 0)</f>
        <v>45.53</v>
      </c>
      <c r="H123" s="9">
        <f t="shared" si="3"/>
        <v>182.12</v>
      </c>
      <c r="I123" s="9" cm="1">
        <f t="array" ref="I123">_xlfn.IFS(E123="Dividend", 0, AND(D123="Buy", E123="Fresh"), -H123, AND(D123="Sell", E123="Fresh"), H123, TRUE, "")</f>
        <v>-182.12</v>
      </c>
      <c r="J123" s="4" t="s">
        <v>26</v>
      </c>
    </row>
    <row r="124" spans="1:10" ht="16.2" thickBot="1" x14ac:dyDescent="0.35">
      <c r="A124" s="20">
        <v>46024</v>
      </c>
      <c r="B124" s="16" t="s">
        <v>14</v>
      </c>
      <c r="C124" s="10" t="s">
        <v>15</v>
      </c>
      <c r="D124" s="10" t="s">
        <v>20</v>
      </c>
      <c r="E124" s="10" t="s">
        <v>21</v>
      </c>
      <c r="F124" s="5" cm="1">
        <f t="array" ref="F124">_xlfn.XLOOKUP(A124&amp;B124,'Raw Data'!A:A &amp; 'Raw Data'!B:B, 'Raw Data'!C:C, "", 0)</f>
        <v>14</v>
      </c>
      <c r="G124" s="6" cm="1">
        <f t="array" ref="G124">_xlfn.XLOOKUP(A124&amp;B124,'Raw Data'!A:A &amp; 'Raw Data'!B:B, 'Raw Data'!D:D, "", 0)</f>
        <v>14.24</v>
      </c>
      <c r="H124" s="12">
        <f t="shared" si="3"/>
        <v>199.36</v>
      </c>
      <c r="I124" s="12" cm="1">
        <f t="array" ref="I124">_xlfn.IFS(E124="Dividend", 0, AND(D124="Buy", E124="Fresh"), -H124, AND(D124="Sell", E124="Fresh"), H124, TRUE, "")</f>
        <v>-199.36</v>
      </c>
      <c r="J124" s="4" t="s">
        <v>26</v>
      </c>
    </row>
    <row r="125" spans="1:10" ht="16.2" thickBot="1" x14ac:dyDescent="0.35">
      <c r="A125" s="19">
        <v>46024</v>
      </c>
      <c r="B125" s="15" t="s">
        <v>11</v>
      </c>
      <c r="C125" s="7" t="s">
        <v>15</v>
      </c>
      <c r="D125" s="7" t="s">
        <v>20</v>
      </c>
      <c r="E125" s="7" t="s">
        <v>21</v>
      </c>
      <c r="F125" s="5" cm="1">
        <f t="array" ref="F125">_xlfn.XLOOKUP(A125&amp;B125,'Raw Data'!A:A &amp; 'Raw Data'!B:B, 'Raw Data'!C:C, "", 0)</f>
        <v>6</v>
      </c>
      <c r="G125" s="6" cm="1">
        <f t="array" ref="G125">_xlfn.XLOOKUP(A125&amp;B125,'Raw Data'!A:A &amp; 'Raw Data'!B:B, 'Raw Data'!D:D, "", 0)</f>
        <v>29.36</v>
      </c>
      <c r="H125" s="9">
        <f t="shared" si="3"/>
        <v>176.16</v>
      </c>
      <c r="I125" s="9" cm="1">
        <f t="array" ref="I125">_xlfn.IFS(E125="Dividend", 0, AND(D125="Buy", E125="Fresh"), -H125, AND(D125="Sell", E125="Fresh"), H125, TRUE, "")</f>
        <v>-176.16</v>
      </c>
      <c r="J125" s="4" t="s">
        <v>26</v>
      </c>
    </row>
    <row r="126" spans="1:10" ht="16.2" thickBot="1" x14ac:dyDescent="0.35">
      <c r="A126" s="20">
        <v>46024</v>
      </c>
      <c r="B126" s="16" t="s">
        <v>22</v>
      </c>
      <c r="C126" s="10" t="s">
        <v>15</v>
      </c>
      <c r="D126" s="10" t="s">
        <v>20</v>
      </c>
      <c r="E126" s="10" t="s">
        <v>21</v>
      </c>
      <c r="F126" s="5" cm="1">
        <f t="array" ref="F126">_xlfn.XLOOKUP(A126&amp;B126,'Raw Data'!A:A &amp; 'Raw Data'!B:B, 'Raw Data'!C:C, "", 0)</f>
        <v>28</v>
      </c>
      <c r="G126" s="6" cm="1">
        <f t="array" ref="G126">_xlfn.XLOOKUP(A126&amp;B126,'Raw Data'!A:A &amp; 'Raw Data'!B:B, 'Raw Data'!D:D, "", 0)</f>
        <v>7.01</v>
      </c>
      <c r="H126" s="12">
        <f t="shared" si="3"/>
        <v>196.28</v>
      </c>
      <c r="I126" s="12" cm="1">
        <f t="array" ref="I126">_xlfn.IFS(E126="Dividend", 0, AND(D126="Buy", E126="Fresh"), -H126, AND(D126="Sell", E126="Fresh"), H126, TRUE, "")</f>
        <v>-196.28</v>
      </c>
      <c r="J126" s="4" t="s">
        <v>26</v>
      </c>
    </row>
    <row r="127" spans="1:10" ht="16.2" thickBot="1" x14ac:dyDescent="0.35">
      <c r="A127" s="19">
        <v>46024</v>
      </c>
      <c r="B127" s="15" t="s">
        <v>16</v>
      </c>
      <c r="C127" s="7" t="s">
        <v>10</v>
      </c>
      <c r="D127" s="7" t="s">
        <v>20</v>
      </c>
      <c r="E127" s="7" t="s">
        <v>21</v>
      </c>
      <c r="F127" s="5" cm="1">
        <f t="array" ref="F127">_xlfn.XLOOKUP(A127&amp;B127,'Raw Data'!A:A &amp; 'Raw Data'!B:B, 'Raw Data'!C:C, "", 0)</f>
        <v>5</v>
      </c>
      <c r="G127" s="6" cm="1">
        <f t="array" ref="G127">_xlfn.XLOOKUP(A127&amp;B127,'Raw Data'!A:A &amp; 'Raw Data'!B:B, 'Raw Data'!D:D, "", 0)</f>
        <v>36.450000000000003</v>
      </c>
      <c r="H127" s="9">
        <f t="shared" si="3"/>
        <v>182.25</v>
      </c>
      <c r="I127" s="9" cm="1">
        <f t="array" ref="I127">_xlfn.IFS(E127="Dividend", 0, AND(D127="Buy", E127="Fresh"), -H127, AND(D127="Sell", E127="Fresh"), H127, TRUE, "")</f>
        <v>-182.25</v>
      </c>
      <c r="J127" s="4" t="s">
        <v>26</v>
      </c>
    </row>
    <row r="128" spans="1:10" ht="16.2" thickBot="1" x14ac:dyDescent="0.35">
      <c r="A128" s="20">
        <v>46024</v>
      </c>
      <c r="B128" s="16" t="s">
        <v>23</v>
      </c>
      <c r="C128" s="10" t="s">
        <v>10</v>
      </c>
      <c r="D128" s="10" t="s">
        <v>20</v>
      </c>
      <c r="E128" s="10" t="s">
        <v>21</v>
      </c>
      <c r="F128" s="5" cm="1">
        <f t="array" ref="F128">_xlfn.XLOOKUP(A128&amp;B128,'Raw Data'!A:A &amp; 'Raw Data'!B:B, 'Raw Data'!C:C, "", 0)</f>
        <v>16</v>
      </c>
      <c r="G128" s="6" cm="1">
        <f t="array" ref="G128">_xlfn.XLOOKUP(A128&amp;B128,'Raw Data'!A:A &amp; 'Raw Data'!B:B, 'Raw Data'!D:D, "", 0)</f>
        <v>12.37</v>
      </c>
      <c r="H128" s="12">
        <f t="shared" si="3"/>
        <v>197.92</v>
      </c>
      <c r="I128" s="12" cm="1">
        <f t="array" ref="I128">_xlfn.IFS(E128="Dividend", 0, AND(D128="Buy", E128="Fresh"), -H128, AND(D128="Sell", E128="Fresh"), H128, TRUE, "")</f>
        <v>-197.92</v>
      </c>
      <c r="J128" s="4" t="s">
        <v>26</v>
      </c>
    </row>
    <row r="129" spans="1:10" ht="16.2" thickBot="1" x14ac:dyDescent="0.35">
      <c r="A129" s="19">
        <v>46024</v>
      </c>
      <c r="B129" s="15" t="s">
        <v>17</v>
      </c>
      <c r="C129" s="7" t="s">
        <v>10</v>
      </c>
      <c r="D129" s="7" t="s">
        <v>20</v>
      </c>
      <c r="E129" s="7" t="s">
        <v>21</v>
      </c>
      <c r="F129" s="5" cm="1">
        <f t="array" ref="F129">_xlfn.XLOOKUP(A129&amp;B129,'Raw Data'!A:A &amp; 'Raw Data'!B:B, 'Raw Data'!C:C, "", 0)</f>
        <v>41</v>
      </c>
      <c r="G129" s="6" cm="1">
        <f t="array" ref="G129">_xlfn.XLOOKUP(A129&amp;B129,'Raw Data'!A:A &amp; 'Raw Data'!B:B, 'Raw Data'!D:D, "", 0)</f>
        <v>4.87</v>
      </c>
      <c r="H129" s="9">
        <f t="shared" si="3"/>
        <v>199.67000000000002</v>
      </c>
      <c r="I129" s="9" cm="1">
        <f t="array" ref="I129">_xlfn.IFS(E129="Dividend", 0, AND(D129="Buy", E129="Fresh"), -H129, AND(D129="Sell", E129="Fresh"), H129, TRUE, "")</f>
        <v>-199.67000000000002</v>
      </c>
      <c r="J129" s="4" t="s">
        <v>26</v>
      </c>
    </row>
    <row r="130" spans="1:10" ht="16.2" thickBot="1" x14ac:dyDescent="0.35">
      <c r="A130" s="20">
        <v>46024</v>
      </c>
      <c r="B130" s="16" t="s">
        <v>18</v>
      </c>
      <c r="C130" s="10" t="s">
        <v>10</v>
      </c>
      <c r="D130" s="10" t="s">
        <v>20</v>
      </c>
      <c r="E130" s="10" t="s">
        <v>21</v>
      </c>
      <c r="F130" s="5" cm="1">
        <f t="array" ref="F130">_xlfn.XLOOKUP(A130&amp;B130,'Raw Data'!A:A &amp; 'Raw Data'!B:B, 'Raw Data'!C:C, "", 0)</f>
        <v>17</v>
      </c>
      <c r="G130" s="6" cm="1">
        <f t="array" ref="G130">_xlfn.XLOOKUP(A130&amp;B130,'Raw Data'!A:A &amp; 'Raw Data'!B:B, 'Raw Data'!D:D, "", 0)</f>
        <v>11.5</v>
      </c>
      <c r="H130" s="12">
        <f t="shared" ref="H130:H161" si="4">IF(A130="", "", F130*G130)</f>
        <v>195.5</v>
      </c>
      <c r="I130" s="12" cm="1">
        <f t="array" ref="I130">_xlfn.IFS(E130="Dividend", 0, AND(D130="Buy", E130="Fresh"), -H130, AND(D130="Sell", E130="Fresh"), H130, TRUE, "")</f>
        <v>-195.5</v>
      </c>
      <c r="J130" s="4" t="s">
        <v>26</v>
      </c>
    </row>
    <row r="131" spans="1:10" ht="16.2" thickBot="1" x14ac:dyDescent="0.35">
      <c r="A131" s="19">
        <v>46024</v>
      </c>
      <c r="B131" s="15" t="s">
        <v>19</v>
      </c>
      <c r="C131" s="7" t="s">
        <v>10</v>
      </c>
      <c r="D131" s="7" t="s">
        <v>20</v>
      </c>
      <c r="E131" s="7" t="s">
        <v>21</v>
      </c>
      <c r="F131" s="5" cm="1">
        <f t="array" ref="F131">_xlfn.XLOOKUP(A131&amp;B131,'Raw Data'!A:A &amp; 'Raw Data'!B:B, 'Raw Data'!C:C, "", 0)</f>
        <v>6</v>
      </c>
      <c r="G131" s="6" cm="1">
        <f t="array" ref="G131">_xlfn.XLOOKUP(A131&amp;B131,'Raw Data'!A:A &amp; 'Raw Data'!B:B, 'Raw Data'!D:D, "", 0)</f>
        <v>31</v>
      </c>
      <c r="H131" s="9">
        <f t="shared" si="4"/>
        <v>186</v>
      </c>
      <c r="I131" s="9" cm="1">
        <f t="array" ref="I131">_xlfn.IFS(E131="Dividend", 0, AND(D131="Buy", E131="Fresh"), -H131, AND(D131="Sell", E131="Fresh"), H131, TRUE, "")</f>
        <v>-186</v>
      </c>
      <c r="J131" s="4" t="s">
        <v>26</v>
      </c>
    </row>
    <row r="132" spans="1:10" ht="16.2" thickBot="1" x14ac:dyDescent="0.35">
      <c r="A132" s="20">
        <v>46055</v>
      </c>
      <c r="B132" s="16" t="s">
        <v>12</v>
      </c>
      <c r="C132" s="10" t="s">
        <v>10</v>
      </c>
      <c r="D132" s="10" t="s">
        <v>20</v>
      </c>
      <c r="E132" s="10" t="s">
        <v>21</v>
      </c>
      <c r="F132" s="5" cm="1">
        <f t="array" ref="F132">_xlfn.XLOOKUP(A132&amp;B132,'Raw Data'!A:A &amp; 'Raw Data'!B:B, 'Raw Data'!C:C, "", 0)</f>
        <v>7</v>
      </c>
      <c r="G132" s="6" cm="1">
        <f t="array" ref="G132">_xlfn.XLOOKUP(A132&amp;B132,'Raw Data'!A:A &amp; 'Raw Data'!B:B, 'Raw Data'!D:D, "", 0)</f>
        <v>25.39</v>
      </c>
      <c r="H132" s="12">
        <f t="shared" si="4"/>
        <v>177.73000000000002</v>
      </c>
      <c r="I132" s="12" cm="1">
        <f t="array" ref="I132">_xlfn.IFS(E132="Dividend", 0, AND(D132="Buy", E132="Fresh"), -H132, AND(D132="Sell", E132="Fresh"), H132, TRUE, "")</f>
        <v>-177.73000000000002</v>
      </c>
      <c r="J132" s="4" t="s">
        <v>26</v>
      </c>
    </row>
    <row r="133" spans="1:10" ht="16.2" thickBot="1" x14ac:dyDescent="0.35">
      <c r="A133" s="19">
        <v>46055</v>
      </c>
      <c r="B133" s="15" t="s">
        <v>13</v>
      </c>
      <c r="C133" s="7" t="s">
        <v>10</v>
      </c>
      <c r="D133" s="7" t="s">
        <v>20</v>
      </c>
      <c r="E133" s="7" t="s">
        <v>21</v>
      </c>
      <c r="F133" s="5" cm="1">
        <f t="array" ref="F133">_xlfn.XLOOKUP(A133&amp;B133,'Raw Data'!A:A &amp; 'Raw Data'!B:B, 'Raw Data'!C:C, "", 0)</f>
        <v>4</v>
      </c>
      <c r="G133" s="6" cm="1">
        <f t="array" ref="G133">_xlfn.XLOOKUP(A133&amp;B133,'Raw Data'!A:A &amp; 'Raw Data'!B:B, 'Raw Data'!D:D, "", 0)</f>
        <v>49.4</v>
      </c>
      <c r="H133" s="9">
        <f t="shared" si="4"/>
        <v>197.6</v>
      </c>
      <c r="I133" s="9" cm="1">
        <f t="array" ref="I133">_xlfn.IFS(E133="Dividend", 0, AND(D133="Buy", E133="Fresh"), -H133, AND(D133="Sell", E133="Fresh"), H133, TRUE, "")</f>
        <v>-197.6</v>
      </c>
      <c r="J133" s="4" t="s">
        <v>26</v>
      </c>
    </row>
    <row r="134" spans="1:10" ht="16.2" thickBot="1" x14ac:dyDescent="0.35">
      <c r="A134" s="20">
        <v>46055</v>
      </c>
      <c r="B134" s="16" t="s">
        <v>14</v>
      </c>
      <c r="C134" s="10" t="s">
        <v>10</v>
      </c>
      <c r="D134" s="10" t="s">
        <v>20</v>
      </c>
      <c r="E134" s="10" t="s">
        <v>21</v>
      </c>
      <c r="F134" s="5" cm="1">
        <f t="array" ref="F134">_xlfn.XLOOKUP(A134&amp;B134,'Raw Data'!A:A &amp; 'Raw Data'!B:B, 'Raw Data'!C:C, "", 0)</f>
        <v>14</v>
      </c>
      <c r="G134" s="6" cm="1">
        <f t="array" ref="G134">_xlfn.XLOOKUP(A134&amp;B134,'Raw Data'!A:A &amp; 'Raw Data'!B:B, 'Raw Data'!D:D, "", 0)</f>
        <v>14.11</v>
      </c>
      <c r="H134" s="12">
        <f t="shared" si="4"/>
        <v>197.54</v>
      </c>
      <c r="I134" s="12" cm="1">
        <f t="array" ref="I134">_xlfn.IFS(E134="Dividend", 0, AND(D134="Buy", E134="Fresh"), -H134, AND(D134="Sell", E134="Fresh"), H134, TRUE, "")</f>
        <v>-197.54</v>
      </c>
      <c r="J134" s="4" t="s">
        <v>26</v>
      </c>
    </row>
    <row r="135" spans="1:10" ht="16.2" thickBot="1" x14ac:dyDescent="0.35">
      <c r="A135" s="19">
        <v>46055</v>
      </c>
      <c r="B135" s="15" t="s">
        <v>11</v>
      </c>
      <c r="C135" s="7" t="s">
        <v>10</v>
      </c>
      <c r="D135" s="7" t="s">
        <v>20</v>
      </c>
      <c r="E135" s="7" t="s">
        <v>21</v>
      </c>
      <c r="F135" s="5" cm="1">
        <f t="array" ref="F135">_xlfn.XLOOKUP(A135&amp;B135,'Raw Data'!A:A &amp; 'Raw Data'!B:B, 'Raw Data'!C:C, "", 0)</f>
        <v>6</v>
      </c>
      <c r="G135" s="6" cm="1">
        <f t="array" ref="G135">_xlfn.XLOOKUP(A135&amp;B135,'Raw Data'!A:A &amp; 'Raw Data'!B:B, 'Raw Data'!D:D, "", 0)</f>
        <v>30.99</v>
      </c>
      <c r="H135" s="9">
        <f t="shared" si="4"/>
        <v>185.94</v>
      </c>
      <c r="I135" s="9" cm="1">
        <f t="array" ref="I135">_xlfn.IFS(E135="Dividend", 0, AND(D135="Buy", E135="Fresh"), -H135, AND(D135="Sell", E135="Fresh"), H135, TRUE, "")</f>
        <v>-185.94</v>
      </c>
      <c r="J135" s="4" t="s">
        <v>26</v>
      </c>
    </row>
    <row r="136" spans="1:10" ht="16.2" thickBot="1" x14ac:dyDescent="0.35">
      <c r="A136" s="20">
        <v>46055</v>
      </c>
      <c r="B136" s="16" t="s">
        <v>22</v>
      </c>
      <c r="C136" s="10" t="s">
        <v>10</v>
      </c>
      <c r="D136" s="10" t="s">
        <v>20</v>
      </c>
      <c r="E136" s="10" t="s">
        <v>21</v>
      </c>
      <c r="F136" s="5" cm="1">
        <f t="array" ref="F136">_xlfn.XLOOKUP(A136&amp;B136,'Raw Data'!A:A &amp; 'Raw Data'!B:B, 'Raw Data'!C:C, "", 0)</f>
        <v>29</v>
      </c>
      <c r="G136" s="6" cm="1">
        <f t="array" ref="G136">_xlfn.XLOOKUP(A136&amp;B136,'Raw Data'!A:A &amp; 'Raw Data'!B:B, 'Raw Data'!D:D, "", 0)</f>
        <v>6.71</v>
      </c>
      <c r="H136" s="12">
        <f t="shared" si="4"/>
        <v>194.59</v>
      </c>
      <c r="I136" s="12" cm="1">
        <f t="array" ref="I136">_xlfn.IFS(E136="Dividend", 0, AND(D136="Buy", E136="Fresh"), -H136, AND(D136="Sell", E136="Fresh"), H136, TRUE, "")</f>
        <v>-194.59</v>
      </c>
      <c r="J136" s="4" t="s">
        <v>26</v>
      </c>
    </row>
    <row r="137" spans="1:10" ht="16.2" thickBot="1" x14ac:dyDescent="0.35">
      <c r="A137" s="19">
        <v>46055</v>
      </c>
      <c r="B137" s="15" t="s">
        <v>16</v>
      </c>
      <c r="C137" s="7" t="s">
        <v>15</v>
      </c>
      <c r="D137" s="7" t="s">
        <v>20</v>
      </c>
      <c r="E137" s="7" t="s">
        <v>21</v>
      </c>
      <c r="F137" s="5" cm="1">
        <f t="array" ref="F137">_xlfn.XLOOKUP(A137&amp;B137,'Raw Data'!A:A &amp; 'Raw Data'!B:B, 'Raw Data'!C:C, "", 0)</f>
        <v>5</v>
      </c>
      <c r="G137" s="6" cm="1">
        <f t="array" ref="G137">_xlfn.XLOOKUP(A137&amp;B137,'Raw Data'!A:A &amp; 'Raw Data'!B:B, 'Raw Data'!D:D, "", 0)</f>
        <v>37.299999999999997</v>
      </c>
      <c r="H137" s="9">
        <f t="shared" si="4"/>
        <v>186.5</v>
      </c>
      <c r="I137" s="9" cm="1">
        <f t="array" ref="I137">_xlfn.IFS(E137="Dividend", 0, AND(D137="Buy", E137="Fresh"), -H137, AND(D137="Sell", E137="Fresh"), H137, TRUE, "")</f>
        <v>-186.5</v>
      </c>
      <c r="J137" s="4" t="s">
        <v>26</v>
      </c>
    </row>
    <row r="138" spans="1:10" ht="16.2" thickBot="1" x14ac:dyDescent="0.35">
      <c r="A138" s="20">
        <v>46055</v>
      </c>
      <c r="B138" s="16" t="s">
        <v>23</v>
      </c>
      <c r="C138" s="10" t="s">
        <v>15</v>
      </c>
      <c r="D138" s="10" t="s">
        <v>20</v>
      </c>
      <c r="E138" s="10" t="s">
        <v>21</v>
      </c>
      <c r="F138" s="5" cm="1">
        <f t="array" ref="F138">_xlfn.XLOOKUP(A138&amp;B138,'Raw Data'!A:A &amp; 'Raw Data'!B:B, 'Raw Data'!C:C, "", 0)</f>
        <v>15</v>
      </c>
      <c r="G138" s="6" cm="1">
        <f t="array" ref="G138">_xlfn.XLOOKUP(A138&amp;B138,'Raw Data'!A:A &amp; 'Raw Data'!B:B, 'Raw Data'!D:D, "", 0)</f>
        <v>13.12</v>
      </c>
      <c r="H138" s="12">
        <f t="shared" si="4"/>
        <v>196.79999999999998</v>
      </c>
      <c r="I138" s="12" cm="1">
        <f t="array" ref="I138">_xlfn.IFS(E138="Dividend", 0, AND(D138="Buy", E138="Fresh"), -H138, AND(D138="Sell", E138="Fresh"), H138, TRUE, "")</f>
        <v>-196.79999999999998</v>
      </c>
      <c r="J138" s="4" t="s">
        <v>26</v>
      </c>
    </row>
    <row r="139" spans="1:10" ht="16.2" thickBot="1" x14ac:dyDescent="0.35">
      <c r="A139" s="19">
        <v>46055</v>
      </c>
      <c r="B139" s="15" t="s">
        <v>17</v>
      </c>
      <c r="C139" s="7" t="s">
        <v>15</v>
      </c>
      <c r="D139" s="7" t="s">
        <v>20</v>
      </c>
      <c r="E139" s="7" t="s">
        <v>21</v>
      </c>
      <c r="F139" s="5" cm="1">
        <f t="array" ref="F139">_xlfn.XLOOKUP(A139&amp;B139,'Raw Data'!A:A &amp; 'Raw Data'!B:B, 'Raw Data'!C:C, "", 0)</f>
        <v>40</v>
      </c>
      <c r="G139" s="6" cm="1">
        <f t="array" ref="G139">_xlfn.XLOOKUP(A139&amp;B139,'Raw Data'!A:A &amp; 'Raw Data'!B:B, 'Raw Data'!D:D, "", 0)</f>
        <v>4.8899999999999997</v>
      </c>
      <c r="H139" s="9">
        <f t="shared" si="4"/>
        <v>195.6</v>
      </c>
      <c r="I139" s="9" cm="1">
        <f t="array" ref="I139">_xlfn.IFS(E139="Dividend", 0, AND(D139="Buy", E139="Fresh"), -H139, AND(D139="Sell", E139="Fresh"), H139, TRUE, "")</f>
        <v>-195.6</v>
      </c>
      <c r="J139" s="4" t="s">
        <v>26</v>
      </c>
    </row>
    <row r="140" spans="1:10" ht="16.2" thickBot="1" x14ac:dyDescent="0.35">
      <c r="A140" s="20">
        <v>46055</v>
      </c>
      <c r="B140" s="16" t="s">
        <v>18</v>
      </c>
      <c r="C140" s="10" t="s">
        <v>15</v>
      </c>
      <c r="D140" s="10" t="s">
        <v>20</v>
      </c>
      <c r="E140" s="10" t="s">
        <v>21</v>
      </c>
      <c r="F140" s="5" cm="1">
        <f t="array" ref="F140">_xlfn.XLOOKUP(A140&amp;B140,'Raw Data'!A:A &amp; 'Raw Data'!B:B, 'Raw Data'!C:C, "", 0)</f>
        <v>17</v>
      </c>
      <c r="G140" s="6" cm="1">
        <f t="array" ref="G140">_xlfn.XLOOKUP(A140&amp;B140,'Raw Data'!A:A &amp; 'Raw Data'!B:B, 'Raw Data'!D:D, "", 0)</f>
        <v>11.69</v>
      </c>
      <c r="H140" s="12">
        <f t="shared" si="4"/>
        <v>198.73</v>
      </c>
      <c r="I140" s="12" cm="1">
        <f t="array" ref="I140">_xlfn.IFS(E140="Dividend", 0, AND(D140="Buy", E140="Fresh"), -H140, AND(D140="Sell", E140="Fresh"), H140, TRUE, "")</f>
        <v>-198.73</v>
      </c>
      <c r="J140" s="4" t="s">
        <v>26</v>
      </c>
    </row>
    <row r="141" spans="1:10" ht="16.2" thickBot="1" x14ac:dyDescent="0.35">
      <c r="A141" s="19">
        <v>46055</v>
      </c>
      <c r="B141" s="15" t="s">
        <v>19</v>
      </c>
      <c r="C141" s="7" t="s">
        <v>15</v>
      </c>
      <c r="D141" s="7" t="s">
        <v>20</v>
      </c>
      <c r="E141" s="7" t="s">
        <v>21</v>
      </c>
      <c r="F141" s="5" cm="1">
        <f t="array" ref="F141">_xlfn.XLOOKUP(A141&amp;B141,'Raw Data'!A:A &amp; 'Raw Data'!B:B, 'Raw Data'!C:C, "", 0)</f>
        <v>6</v>
      </c>
      <c r="G141" s="6" cm="1">
        <f t="array" ref="G141">_xlfn.XLOOKUP(A141&amp;B141,'Raw Data'!A:A &amp; 'Raw Data'!B:B, 'Raw Data'!D:D, "", 0)</f>
        <v>31.21</v>
      </c>
      <c r="H141" s="9">
        <f t="shared" si="4"/>
        <v>187.26</v>
      </c>
      <c r="I141" s="9" cm="1">
        <f t="array" ref="I141">_xlfn.IFS(E141="Dividend", 0, AND(D141="Buy", E141="Fresh"), -H141, AND(D141="Sell", E141="Fresh"), H141, TRUE, "")</f>
        <v>-187.26</v>
      </c>
      <c r="J141" s="4" t="s">
        <v>26</v>
      </c>
    </row>
    <row r="142" spans="1:10" ht="16.2" thickBot="1" x14ac:dyDescent="0.35">
      <c r="A142" s="20">
        <v>46083</v>
      </c>
      <c r="B142" s="16" t="s">
        <v>12</v>
      </c>
      <c r="C142" s="10" t="s">
        <v>15</v>
      </c>
      <c r="D142" s="10" t="s">
        <v>20</v>
      </c>
      <c r="E142" s="10" t="s">
        <v>21</v>
      </c>
      <c r="F142" s="5" cm="1">
        <f t="array" ref="F142">_xlfn.XLOOKUP(A142&amp;B142,'Raw Data'!A:A &amp; 'Raw Data'!B:B, 'Raw Data'!C:C, "", 0)</f>
        <v>6</v>
      </c>
      <c r="G142" s="6" cm="1">
        <f t="array" ref="G142">_xlfn.XLOOKUP(A142&amp;B142,'Raw Data'!A:A &amp; 'Raw Data'!B:B, 'Raw Data'!D:D, "", 0)</f>
        <v>30.68</v>
      </c>
      <c r="H142" s="12">
        <f t="shared" si="4"/>
        <v>184.07999999999998</v>
      </c>
      <c r="I142" s="12" cm="1">
        <f t="array" ref="I142">_xlfn.IFS(E142="Dividend", 0, AND(D142="Buy", E142="Fresh"), -H142, AND(D142="Sell", E142="Fresh"), H142, TRUE, "")</f>
        <v>-184.07999999999998</v>
      </c>
      <c r="J142" s="4" t="s">
        <v>26</v>
      </c>
    </row>
    <row r="143" spans="1:10" ht="16.2" thickBot="1" x14ac:dyDescent="0.35">
      <c r="A143" s="19">
        <v>46083</v>
      </c>
      <c r="B143" s="15" t="s">
        <v>13</v>
      </c>
      <c r="C143" s="7" t="s">
        <v>15</v>
      </c>
      <c r="D143" s="7" t="s">
        <v>20</v>
      </c>
      <c r="E143" s="7" t="s">
        <v>21</v>
      </c>
      <c r="F143" s="5" cm="1">
        <f t="array" ref="F143">_xlfn.XLOOKUP(A143&amp;B143,'Raw Data'!A:A &amp; 'Raw Data'!B:B, 'Raw Data'!C:C, "", 0)</f>
        <v>3</v>
      </c>
      <c r="G143" s="6" cm="1">
        <f t="array" ref="G143">_xlfn.XLOOKUP(A143&amp;B143,'Raw Data'!A:A &amp; 'Raw Data'!B:B, 'Raw Data'!D:D, "", 0)</f>
        <v>57.1</v>
      </c>
      <c r="H143" s="9">
        <f t="shared" si="4"/>
        <v>171.3</v>
      </c>
      <c r="I143" s="9" cm="1">
        <f t="array" ref="I143">_xlfn.IFS(E143="Dividend", 0, AND(D143="Buy", E143="Fresh"), -H143, AND(D143="Sell", E143="Fresh"), H143, TRUE, "")</f>
        <v>-171.3</v>
      </c>
      <c r="J143" s="4" t="s">
        <v>26</v>
      </c>
    </row>
    <row r="144" spans="1:10" ht="16.2" thickBot="1" x14ac:dyDescent="0.35">
      <c r="A144" s="20">
        <v>46083</v>
      </c>
      <c r="B144" s="16" t="s">
        <v>14</v>
      </c>
      <c r="C144" s="10" t="s">
        <v>15</v>
      </c>
      <c r="D144" s="10" t="s">
        <v>20</v>
      </c>
      <c r="E144" s="10" t="s">
        <v>21</v>
      </c>
      <c r="F144" s="5" cm="1">
        <f t="array" ref="F144">_xlfn.XLOOKUP(A144&amp;B144,'Raw Data'!A:A &amp; 'Raw Data'!B:B, 'Raw Data'!C:C, "", 0)</f>
        <v>13</v>
      </c>
      <c r="G144" s="6" cm="1">
        <f t="array" ref="G144">_xlfn.XLOOKUP(A144&amp;B144,'Raw Data'!A:A &amp; 'Raw Data'!B:B, 'Raw Data'!D:D, "", 0)</f>
        <v>14.45</v>
      </c>
      <c r="H144" s="12">
        <f t="shared" si="4"/>
        <v>187.85</v>
      </c>
      <c r="I144" s="12" cm="1">
        <f t="array" ref="I144">_xlfn.IFS(E144="Dividend", 0, AND(D144="Buy", E144="Fresh"), -H144, AND(D144="Sell", E144="Fresh"), H144, TRUE, "")</f>
        <v>-187.85</v>
      </c>
      <c r="J144" s="4" t="s">
        <v>26</v>
      </c>
    </row>
    <row r="145" spans="1:10" ht="16.2" thickBot="1" x14ac:dyDescent="0.35">
      <c r="A145" s="19">
        <v>46083</v>
      </c>
      <c r="B145" s="15" t="s">
        <v>11</v>
      </c>
      <c r="C145" s="7" t="s">
        <v>15</v>
      </c>
      <c r="D145" s="7" t="s">
        <v>20</v>
      </c>
      <c r="E145" s="7" t="s">
        <v>21</v>
      </c>
      <c r="F145" s="5" cm="1">
        <f t="array" ref="F145">_xlfn.XLOOKUP(A145&amp;B145,'Raw Data'!A:A &amp; 'Raw Data'!B:B, 'Raw Data'!C:C, "", 0)</f>
        <v>5</v>
      </c>
      <c r="G145" s="6" cm="1">
        <f t="array" ref="G145">_xlfn.XLOOKUP(A145&amp;B145,'Raw Data'!A:A &amp; 'Raw Data'!B:B, 'Raw Data'!D:D, "", 0)</f>
        <v>35.799999999999997</v>
      </c>
      <c r="H145" s="9">
        <f t="shared" si="4"/>
        <v>179</v>
      </c>
      <c r="I145" s="9" cm="1">
        <f t="array" ref="I145">_xlfn.IFS(E145="Dividend", 0, AND(D145="Buy", E145="Fresh"), -H145, AND(D145="Sell", E145="Fresh"), H145, TRUE, "")</f>
        <v>-179</v>
      </c>
      <c r="J145" s="4" t="s">
        <v>26</v>
      </c>
    </row>
    <row r="146" spans="1:10" ht="16.2" thickBot="1" x14ac:dyDescent="0.35">
      <c r="A146" s="20">
        <v>46083</v>
      </c>
      <c r="B146" s="16" t="s">
        <v>22</v>
      </c>
      <c r="C146" s="10" t="s">
        <v>15</v>
      </c>
      <c r="D146" s="10" t="s">
        <v>20</v>
      </c>
      <c r="E146" s="10" t="s">
        <v>21</v>
      </c>
      <c r="F146" s="5" cm="1">
        <f t="array" ref="F146">_xlfn.XLOOKUP(A146&amp;B146,'Raw Data'!A:A &amp; 'Raw Data'!B:B, 'Raw Data'!C:C, "", 0)</f>
        <v>28</v>
      </c>
      <c r="G146" s="6" cm="1">
        <f t="array" ref="G146">_xlfn.XLOOKUP(A146&amp;B146,'Raw Data'!A:A &amp; 'Raw Data'!B:B, 'Raw Data'!D:D, "", 0)</f>
        <v>7</v>
      </c>
      <c r="H146" s="12">
        <f t="shared" si="4"/>
        <v>196</v>
      </c>
      <c r="I146" s="12" cm="1">
        <f t="array" ref="I146">_xlfn.IFS(E146="Dividend", 0, AND(D146="Buy", E146="Fresh"), -H146, AND(D146="Sell", E146="Fresh"), H146, TRUE, "")</f>
        <v>-196</v>
      </c>
      <c r="J146" s="4" t="s">
        <v>26</v>
      </c>
    </row>
    <row r="147" spans="1:10" ht="16.2" thickBot="1" x14ac:dyDescent="0.35">
      <c r="A147" s="19">
        <v>46083</v>
      </c>
      <c r="B147" s="15" t="s">
        <v>16</v>
      </c>
      <c r="C147" s="7" t="s">
        <v>10</v>
      </c>
      <c r="D147" s="7" t="s">
        <v>20</v>
      </c>
      <c r="E147" s="7" t="s">
        <v>21</v>
      </c>
      <c r="F147" s="5" cm="1">
        <f t="array" ref="F147">_xlfn.XLOOKUP(A147&amp;B147,'Raw Data'!A:A &amp; 'Raw Data'!B:B, 'Raw Data'!C:C, "", 0)</f>
        <v>5</v>
      </c>
      <c r="G147" s="6" cm="1">
        <f t="array" ref="G147">_xlfn.XLOOKUP(A147&amp;B147,'Raw Data'!A:A &amp; 'Raw Data'!B:B, 'Raw Data'!D:D, "", 0)</f>
        <v>39.6</v>
      </c>
      <c r="H147" s="9">
        <f t="shared" si="4"/>
        <v>198</v>
      </c>
      <c r="I147" s="9" cm="1">
        <f t="array" ref="I147">_xlfn.IFS(E147="Dividend", 0, AND(D147="Buy", E147="Fresh"), -H147, AND(D147="Sell", E147="Fresh"), H147, TRUE, "")</f>
        <v>-198</v>
      </c>
      <c r="J147" s="4" t="s">
        <v>26</v>
      </c>
    </row>
    <row r="148" spans="1:10" ht="16.2" thickBot="1" x14ac:dyDescent="0.35">
      <c r="A148" s="20">
        <v>46083</v>
      </c>
      <c r="B148" s="16" t="s">
        <v>23</v>
      </c>
      <c r="C148" s="10" t="s">
        <v>10</v>
      </c>
      <c r="D148" s="10" t="s">
        <v>20</v>
      </c>
      <c r="E148" s="10" t="s">
        <v>21</v>
      </c>
      <c r="F148" s="5" cm="1">
        <f t="array" ref="F148">_xlfn.XLOOKUP(A148&amp;B148,'Raw Data'!A:A &amp; 'Raw Data'!B:B, 'Raw Data'!C:C, "", 0)</f>
        <v>14</v>
      </c>
      <c r="G148" s="6" cm="1">
        <f t="array" ref="G148">_xlfn.XLOOKUP(A148&amp;B148,'Raw Data'!A:A &amp; 'Raw Data'!B:B, 'Raw Data'!D:D, "", 0)</f>
        <v>13.67</v>
      </c>
      <c r="H148" s="12">
        <f t="shared" si="4"/>
        <v>191.38</v>
      </c>
      <c r="I148" s="12" cm="1">
        <f t="array" ref="I148">_xlfn.IFS(E148="Dividend", 0, AND(D148="Buy", E148="Fresh"), -H148, AND(D148="Sell", E148="Fresh"), H148, TRUE, "")</f>
        <v>-191.38</v>
      </c>
      <c r="J148" s="4" t="s">
        <v>26</v>
      </c>
    </row>
    <row r="149" spans="1:10" ht="16.2" thickBot="1" x14ac:dyDescent="0.35">
      <c r="A149" s="19">
        <v>46083</v>
      </c>
      <c r="B149" s="15" t="s">
        <v>17</v>
      </c>
      <c r="C149" s="7" t="s">
        <v>10</v>
      </c>
      <c r="D149" s="7" t="s">
        <v>20</v>
      </c>
      <c r="E149" s="7" t="s">
        <v>21</v>
      </c>
      <c r="F149" s="5" cm="1">
        <f t="array" ref="F149">_xlfn.XLOOKUP(A149&amp;B149,'Raw Data'!A:A &amp; 'Raw Data'!B:B, 'Raw Data'!C:C, "", 0)</f>
        <v>38</v>
      </c>
      <c r="G149" s="6" cm="1">
        <f t="array" ref="G149">_xlfn.XLOOKUP(A149&amp;B149,'Raw Data'!A:A &amp; 'Raw Data'!B:B, 'Raw Data'!D:D, "", 0)</f>
        <v>5.18</v>
      </c>
      <c r="H149" s="9">
        <f t="shared" si="4"/>
        <v>196.83999999999997</v>
      </c>
      <c r="I149" s="9" cm="1">
        <f t="array" ref="I149">_xlfn.IFS(E149="Dividend", 0, AND(D149="Buy", E149="Fresh"), -H149, AND(D149="Sell", E149="Fresh"), H149, TRUE, "")</f>
        <v>-196.83999999999997</v>
      </c>
      <c r="J149" s="4" t="s">
        <v>26</v>
      </c>
    </row>
    <row r="150" spans="1:10" ht="16.2" thickBot="1" x14ac:dyDescent="0.35">
      <c r="A150" s="20">
        <v>46083</v>
      </c>
      <c r="B150" s="16" t="s">
        <v>18</v>
      </c>
      <c r="C150" s="10" t="s">
        <v>10</v>
      </c>
      <c r="D150" s="10" t="s">
        <v>20</v>
      </c>
      <c r="E150" s="10" t="s">
        <v>21</v>
      </c>
      <c r="F150" s="5" cm="1">
        <f t="array" ref="F150">_xlfn.XLOOKUP(A150&amp;B150,'Raw Data'!A:A &amp; 'Raw Data'!B:B, 'Raw Data'!C:C, "", 0)</f>
        <v>16</v>
      </c>
      <c r="G150" s="6" cm="1">
        <f t="array" ref="G150">_xlfn.XLOOKUP(A150&amp;B150,'Raw Data'!A:A &amp; 'Raw Data'!B:B, 'Raw Data'!D:D, "", 0)</f>
        <v>11.93</v>
      </c>
      <c r="H150" s="12">
        <f t="shared" si="4"/>
        <v>190.88</v>
      </c>
      <c r="I150" s="12" cm="1">
        <f t="array" ref="I150">_xlfn.IFS(E150="Dividend", 0, AND(D150="Buy", E150="Fresh"), -H150, AND(D150="Sell", E150="Fresh"), H150, TRUE, "")</f>
        <v>-190.88</v>
      </c>
      <c r="J150" s="4" t="s">
        <v>26</v>
      </c>
    </row>
    <row r="151" spans="1:10" ht="16.2" thickBot="1" x14ac:dyDescent="0.35">
      <c r="A151" s="19">
        <v>46083</v>
      </c>
      <c r="B151" s="15" t="s">
        <v>19</v>
      </c>
      <c r="C151" s="7" t="s">
        <v>10</v>
      </c>
      <c r="D151" s="7" t="s">
        <v>20</v>
      </c>
      <c r="E151" s="7" t="s">
        <v>21</v>
      </c>
      <c r="F151" s="5" cm="1">
        <f t="array" ref="F151">_xlfn.XLOOKUP(A151&amp;B151,'Raw Data'!A:A &amp; 'Raw Data'!B:B, 'Raw Data'!C:C, "", 0)</f>
        <v>6</v>
      </c>
      <c r="G151" s="6" cm="1">
        <f t="array" ref="G151">_xlfn.XLOOKUP(A151&amp;B151,'Raw Data'!A:A &amp; 'Raw Data'!B:B, 'Raw Data'!D:D, "", 0)</f>
        <v>29</v>
      </c>
      <c r="H151" s="9">
        <f t="shared" si="4"/>
        <v>174</v>
      </c>
      <c r="I151" s="9" cm="1">
        <f t="array" ref="I151">_xlfn.IFS(E151="Dividend", 0, AND(D151="Buy", E151="Fresh"), -H151, AND(D151="Sell", E151="Fresh"), H151, TRUE, "")</f>
        <v>-174</v>
      </c>
      <c r="J151" s="4" t="s">
        <v>26</v>
      </c>
    </row>
    <row r="152" spans="1:10" ht="16.2" thickBot="1" x14ac:dyDescent="0.35">
      <c r="A152" s="20">
        <v>46113</v>
      </c>
      <c r="B152" s="16" t="s">
        <v>12</v>
      </c>
      <c r="C152" s="10" t="s">
        <v>10</v>
      </c>
      <c r="D152" s="10" t="s">
        <v>20</v>
      </c>
      <c r="E152" s="10" t="s">
        <v>21</v>
      </c>
      <c r="F152" s="5" cm="1">
        <f t="array" ref="F152">_xlfn.XLOOKUP(A152&amp;B152,'Raw Data'!A:A &amp; 'Raw Data'!B:B, 'Raw Data'!C:C, "", 0)</f>
        <v>5</v>
      </c>
      <c r="G152" s="6" cm="1">
        <f t="array" ref="G152">_xlfn.XLOOKUP(A152&amp;B152,'Raw Data'!A:A &amp; 'Raw Data'!B:B, 'Raw Data'!D:D, "", 0)</f>
        <v>34.04</v>
      </c>
      <c r="H152" s="12">
        <f t="shared" si="4"/>
        <v>170.2</v>
      </c>
      <c r="I152" s="12" cm="1">
        <f t="array" ref="I152">_xlfn.IFS(E152="Dividend", 0, AND(D152="Buy", E152="Fresh"), -H152, AND(D152="Sell", E152="Fresh"), H152, TRUE, "")</f>
        <v>-170.2</v>
      </c>
      <c r="J152" s="4" t="s">
        <v>26</v>
      </c>
    </row>
    <row r="153" spans="1:10" ht="16.2" thickBot="1" x14ac:dyDescent="0.35">
      <c r="A153" s="19">
        <v>46113</v>
      </c>
      <c r="B153" s="15" t="s">
        <v>13</v>
      </c>
      <c r="C153" s="7" t="s">
        <v>10</v>
      </c>
      <c r="D153" s="7" t="s">
        <v>20</v>
      </c>
      <c r="E153" s="7" t="s">
        <v>21</v>
      </c>
      <c r="F153" s="5" cm="1">
        <f t="array" ref="F153">_xlfn.XLOOKUP(A153&amp;B153,'Raw Data'!A:A &amp; 'Raw Data'!B:B, 'Raw Data'!C:C, "", 0)</f>
        <v>3</v>
      </c>
      <c r="G153" s="6" cm="1">
        <f t="array" ref="G153">_xlfn.XLOOKUP(A153&amp;B153,'Raw Data'!A:A &amp; 'Raw Data'!B:B, 'Raw Data'!D:D, "", 0)</f>
        <v>52.5</v>
      </c>
      <c r="H153" s="9">
        <f t="shared" si="4"/>
        <v>157.5</v>
      </c>
      <c r="I153" s="9" cm="1">
        <f t="array" ref="I153">_xlfn.IFS(E153="Dividend", 0, AND(D153="Buy", E153="Fresh"), -H153, AND(D153="Sell", E153="Fresh"), H153, TRUE, "")</f>
        <v>-157.5</v>
      </c>
      <c r="J153" s="4" t="s">
        <v>26</v>
      </c>
    </row>
    <row r="154" spans="1:10" ht="16.2" thickBot="1" x14ac:dyDescent="0.35">
      <c r="A154" s="20">
        <v>46113</v>
      </c>
      <c r="B154" s="16" t="s">
        <v>14</v>
      </c>
      <c r="C154" s="10" t="s">
        <v>10</v>
      </c>
      <c r="D154" s="10" t="s">
        <v>20</v>
      </c>
      <c r="E154" s="10" t="s">
        <v>21</v>
      </c>
      <c r="F154" s="5" cm="1">
        <f t="array" ref="F154">_xlfn.XLOOKUP(A154&amp;B154,'Raw Data'!A:A &amp; 'Raw Data'!B:B, 'Raw Data'!C:C, "", 0)</f>
        <v>14</v>
      </c>
      <c r="G154" s="6" cm="1">
        <f t="array" ref="G154">_xlfn.XLOOKUP(A154&amp;B154,'Raw Data'!A:A &amp; 'Raw Data'!B:B, 'Raw Data'!D:D, "", 0)</f>
        <v>14.1</v>
      </c>
      <c r="H154" s="12">
        <f t="shared" si="4"/>
        <v>197.4</v>
      </c>
      <c r="I154" s="12" cm="1">
        <f t="array" ref="I154">_xlfn.IFS(E154="Dividend", 0, AND(D154="Buy", E154="Fresh"), -H154, AND(D154="Sell", E154="Fresh"), H154, TRUE, "")</f>
        <v>-197.4</v>
      </c>
      <c r="J154" s="4" t="s">
        <v>26</v>
      </c>
    </row>
    <row r="155" spans="1:10" ht="16.2" thickBot="1" x14ac:dyDescent="0.35">
      <c r="A155" s="19">
        <v>46113</v>
      </c>
      <c r="B155" s="15" t="s">
        <v>11</v>
      </c>
      <c r="C155" s="7" t="s">
        <v>10</v>
      </c>
      <c r="D155" s="7" t="s">
        <v>20</v>
      </c>
      <c r="E155" s="7" t="s">
        <v>21</v>
      </c>
      <c r="F155" s="5" cm="1">
        <f t="array" ref="F155">_xlfn.XLOOKUP(A155&amp;B155,'Raw Data'!A:A &amp; 'Raw Data'!B:B, 'Raw Data'!C:C, "", 0)</f>
        <v>5</v>
      </c>
      <c r="G155" s="6" cm="1">
        <f t="array" ref="G155">_xlfn.XLOOKUP(A155&amp;B155,'Raw Data'!A:A &amp; 'Raw Data'!B:B, 'Raw Data'!D:D, "", 0)</f>
        <v>36.450000000000003</v>
      </c>
      <c r="H155" s="9">
        <f t="shared" si="4"/>
        <v>182.25</v>
      </c>
      <c r="I155" s="9" cm="1">
        <f t="array" ref="I155">_xlfn.IFS(E155="Dividend", 0, AND(D155="Buy", E155="Fresh"), -H155, AND(D155="Sell", E155="Fresh"), H155, TRUE, "")</f>
        <v>-182.25</v>
      </c>
      <c r="J155" s="4" t="s">
        <v>26</v>
      </c>
    </row>
    <row r="156" spans="1:10" ht="16.2" thickBot="1" x14ac:dyDescent="0.35">
      <c r="A156" s="20">
        <v>46113</v>
      </c>
      <c r="B156" s="16" t="s">
        <v>22</v>
      </c>
      <c r="C156" s="10" t="s">
        <v>10</v>
      </c>
      <c r="D156" s="10" t="s">
        <v>20</v>
      </c>
      <c r="E156" s="10" t="s">
        <v>21</v>
      </c>
      <c r="F156" s="5" cm="1">
        <f t="array" ref="F156">_xlfn.XLOOKUP(A156&amp;B156,'Raw Data'!A:A &amp; 'Raw Data'!B:B, 'Raw Data'!C:C, "", 0)</f>
        <v>31</v>
      </c>
      <c r="G156" s="6" cm="1">
        <f t="array" ref="G156">_xlfn.XLOOKUP(A156&amp;B156,'Raw Data'!A:A &amp; 'Raw Data'!B:B, 'Raw Data'!D:D, "", 0)</f>
        <v>6.36</v>
      </c>
      <c r="H156" s="12">
        <f t="shared" si="4"/>
        <v>197.16</v>
      </c>
      <c r="I156" s="12" cm="1">
        <f t="array" ref="I156">_xlfn.IFS(E156="Dividend", 0, AND(D156="Buy", E156="Fresh"), -H156, AND(D156="Sell", E156="Fresh"), H156, TRUE, "")</f>
        <v>-197.16</v>
      </c>
      <c r="J156" s="4" t="s">
        <v>26</v>
      </c>
    </row>
    <row r="157" spans="1:10" ht="16.2" thickBot="1" x14ac:dyDescent="0.35">
      <c r="A157" s="19">
        <v>46113</v>
      </c>
      <c r="B157" s="15" t="s">
        <v>16</v>
      </c>
      <c r="C157" s="7" t="s">
        <v>15</v>
      </c>
      <c r="D157" s="7" t="s">
        <v>20</v>
      </c>
      <c r="E157" s="7" t="s">
        <v>21</v>
      </c>
      <c r="F157" s="5" cm="1">
        <f t="array" ref="F157">_xlfn.XLOOKUP(A157&amp;B157,'Raw Data'!A:A &amp; 'Raw Data'!B:B, 'Raw Data'!C:C, "", 0)</f>
        <v>5</v>
      </c>
      <c r="G157" s="6" cm="1">
        <f t="array" ref="G157">_xlfn.XLOOKUP(A157&amp;B157,'Raw Data'!A:A &amp; 'Raw Data'!B:B, 'Raw Data'!D:D, "", 0)</f>
        <v>36.299999999999997</v>
      </c>
      <c r="H157" s="9">
        <f t="shared" si="4"/>
        <v>181.5</v>
      </c>
      <c r="I157" s="9" cm="1">
        <f t="array" ref="I157">_xlfn.IFS(E157="Dividend", 0, AND(D157="Buy", E157="Fresh"), -H157, AND(D157="Sell", E157="Fresh"), H157, TRUE, "")</f>
        <v>-181.5</v>
      </c>
      <c r="J157" s="4" t="s">
        <v>26</v>
      </c>
    </row>
    <row r="158" spans="1:10" ht="16.2" thickBot="1" x14ac:dyDescent="0.35">
      <c r="A158" s="20">
        <v>46113</v>
      </c>
      <c r="B158" s="16" t="s">
        <v>23</v>
      </c>
      <c r="C158" s="10" t="s">
        <v>15</v>
      </c>
      <c r="D158" s="10" t="s">
        <v>20</v>
      </c>
      <c r="E158" s="10" t="s">
        <v>21</v>
      </c>
      <c r="F158" s="5" cm="1">
        <f t="array" ref="F158">_xlfn.XLOOKUP(A158&amp;B158,'Raw Data'!A:A &amp; 'Raw Data'!B:B, 'Raw Data'!C:C, "", 0)</f>
        <v>17</v>
      </c>
      <c r="G158" s="6" cm="1">
        <f t="array" ref="G158">_xlfn.XLOOKUP(A158&amp;B158,'Raw Data'!A:A &amp; 'Raw Data'!B:B, 'Raw Data'!D:D, "", 0)</f>
        <v>11.57</v>
      </c>
      <c r="H158" s="12">
        <f t="shared" si="4"/>
        <v>196.69</v>
      </c>
      <c r="I158" s="12" cm="1">
        <f t="array" ref="I158">_xlfn.IFS(E158="Dividend", 0, AND(D158="Buy", E158="Fresh"), -H158, AND(D158="Sell", E158="Fresh"), H158, TRUE, "")</f>
        <v>-196.69</v>
      </c>
      <c r="J158" s="4" t="s">
        <v>26</v>
      </c>
    </row>
    <row r="159" spans="1:10" ht="16.2" thickBot="1" x14ac:dyDescent="0.35">
      <c r="A159" s="19">
        <v>46113</v>
      </c>
      <c r="B159" s="15" t="s">
        <v>17</v>
      </c>
      <c r="C159" s="7" t="s">
        <v>15</v>
      </c>
      <c r="D159" s="7" t="s">
        <v>20</v>
      </c>
      <c r="E159" s="7" t="s">
        <v>21</v>
      </c>
      <c r="F159" s="5" cm="1">
        <f t="array" ref="F159">_xlfn.XLOOKUP(A159&amp;B159,'Raw Data'!A:A &amp; 'Raw Data'!B:B, 'Raw Data'!C:C, "", 0)</f>
        <v>37</v>
      </c>
      <c r="G159" s="6" cm="1">
        <f t="array" ref="G159">_xlfn.XLOOKUP(A159&amp;B159,'Raw Data'!A:A &amp; 'Raw Data'!B:B, 'Raw Data'!D:D, "", 0)</f>
        <v>5.3</v>
      </c>
      <c r="H159" s="9">
        <f t="shared" si="4"/>
        <v>196.1</v>
      </c>
      <c r="I159" s="9" cm="1">
        <f t="array" ref="I159">_xlfn.IFS(E159="Dividend", 0, AND(D159="Buy", E159="Fresh"), -H159, AND(D159="Sell", E159="Fresh"), H159, TRUE, "")</f>
        <v>-196.1</v>
      </c>
      <c r="J159" s="4" t="s">
        <v>26</v>
      </c>
    </row>
    <row r="160" spans="1:10" ht="16.2" thickBot="1" x14ac:dyDescent="0.35">
      <c r="A160" s="20">
        <v>46113</v>
      </c>
      <c r="B160" s="16" t="s">
        <v>18</v>
      </c>
      <c r="C160" s="10" t="s">
        <v>15</v>
      </c>
      <c r="D160" s="10" t="s">
        <v>20</v>
      </c>
      <c r="E160" s="10" t="s">
        <v>21</v>
      </c>
      <c r="F160" s="5" cm="1">
        <f t="array" ref="F160">_xlfn.XLOOKUP(A160&amp;B160,'Raw Data'!A:A &amp; 'Raw Data'!B:B, 'Raw Data'!C:C, "", 0)</f>
        <v>16</v>
      </c>
      <c r="G160" s="6" cm="1">
        <f t="array" ref="G160">_xlfn.XLOOKUP(A160&amp;B160,'Raw Data'!A:A &amp; 'Raw Data'!B:B, 'Raw Data'!D:D, "", 0)</f>
        <v>12.35</v>
      </c>
      <c r="H160" s="12">
        <f t="shared" si="4"/>
        <v>197.6</v>
      </c>
      <c r="I160" s="12" cm="1">
        <f t="array" ref="I160">_xlfn.IFS(E160="Dividend", 0, AND(D160="Buy", E160="Fresh"), -H160, AND(D160="Sell", E160="Fresh"), H160, TRUE, "")</f>
        <v>-197.6</v>
      </c>
      <c r="J160" s="4" t="s">
        <v>26</v>
      </c>
    </row>
    <row r="161" spans="1:10" ht="16.2" thickBot="1" x14ac:dyDescent="0.35">
      <c r="A161" s="19">
        <v>46113</v>
      </c>
      <c r="B161" s="15" t="s">
        <v>19</v>
      </c>
      <c r="C161" s="7" t="s">
        <v>15</v>
      </c>
      <c r="D161" s="7" t="s">
        <v>20</v>
      </c>
      <c r="E161" s="7" t="s">
        <v>21</v>
      </c>
      <c r="F161" s="5" cm="1">
        <f t="array" ref="F161">_xlfn.XLOOKUP(A161&amp;B161,'Raw Data'!A:A &amp; 'Raw Data'!B:B, 'Raw Data'!C:C, "", 0)</f>
        <v>7</v>
      </c>
      <c r="G161" s="6" cm="1">
        <f t="array" ref="G161">_xlfn.XLOOKUP(A161&amp;B161,'Raw Data'!A:A &amp; 'Raw Data'!B:B, 'Raw Data'!D:D, "", 0)</f>
        <v>25.9</v>
      </c>
      <c r="H161" s="9">
        <f t="shared" si="4"/>
        <v>181.29999999999998</v>
      </c>
      <c r="I161" s="9" cm="1">
        <f t="array" ref="I161">_xlfn.IFS(E161="Dividend", 0, AND(D161="Buy", E161="Fresh"), -H161, AND(D161="Sell", E161="Fresh"), H161, TRUE, "")</f>
        <v>-181.29999999999998</v>
      </c>
      <c r="J161" s="4" t="s">
        <v>26</v>
      </c>
    </row>
    <row r="162" spans="1:10" ht="16.2" thickBot="1" x14ac:dyDescent="0.35">
      <c r="A162" s="20"/>
      <c r="B162" s="16"/>
      <c r="C162" s="10"/>
      <c r="D162" s="10"/>
      <c r="E162" s="10"/>
      <c r="F162" s="11"/>
      <c r="G162" s="12"/>
      <c r="H162" s="12" t="str">
        <f t="shared" ref="H162:H169" si="5">IF(A162="", "", F162*G162)</f>
        <v/>
      </c>
      <c r="I162" s="12" t="str" cm="1">
        <f t="array" ref="I162">_xlfn.IFS(E162="Dividend", 0, AND(D162="Buy", E162="Fresh"), -H162, AND(D162="Sell", E162="Fresh"), H162, TRUE, "")</f>
        <v/>
      </c>
      <c r="J162" s="4"/>
    </row>
    <row r="163" spans="1:10" ht="16.2" thickBot="1" x14ac:dyDescent="0.35">
      <c r="A163" s="19"/>
      <c r="B163" s="15"/>
      <c r="C163" s="7"/>
      <c r="D163" s="7"/>
      <c r="E163" s="7"/>
      <c r="F163" s="8"/>
      <c r="G163" s="9"/>
      <c r="H163" s="9" t="str">
        <f t="shared" si="5"/>
        <v/>
      </c>
      <c r="I163" s="9" t="str" cm="1">
        <f t="array" ref="I163">_xlfn.IFS(E163="Dividend", 0, AND(D163="Buy", E163="Fresh"), -H163, AND(D163="Sell", E163="Fresh"), H163, TRUE, "")</f>
        <v/>
      </c>
      <c r="J163" s="4"/>
    </row>
    <row r="164" spans="1:10" ht="16.2" thickBot="1" x14ac:dyDescent="0.35">
      <c r="A164" s="20"/>
      <c r="B164" s="16"/>
      <c r="C164" s="10"/>
      <c r="D164" s="10"/>
      <c r="E164" s="10"/>
      <c r="F164" s="11"/>
      <c r="G164" s="12"/>
      <c r="H164" s="12" t="str">
        <f t="shared" si="5"/>
        <v/>
      </c>
      <c r="I164" s="12" t="str" cm="1">
        <f t="array" ref="I164">_xlfn.IFS(E164="Dividend", 0, AND(D164="Buy", E164="Fresh"), -H164, AND(D164="Sell", E164="Fresh"), H164, TRUE, "")</f>
        <v/>
      </c>
      <c r="J164" s="4"/>
    </row>
    <row r="165" spans="1:10" ht="16.2" thickBot="1" x14ac:dyDescent="0.35">
      <c r="A165" s="19"/>
      <c r="B165" s="15"/>
      <c r="C165" s="7"/>
      <c r="D165" s="7"/>
      <c r="E165" s="7"/>
      <c r="F165" s="8"/>
      <c r="G165" s="9"/>
      <c r="H165" s="9" t="str">
        <f t="shared" si="5"/>
        <v/>
      </c>
      <c r="I165" s="9" t="str" cm="1">
        <f t="array" ref="I165">_xlfn.IFS(E165="Dividend", 0, AND(D165="Buy", E165="Fresh"), -H165, AND(D165="Sell", E165="Fresh"), H165, TRUE, "")</f>
        <v/>
      </c>
      <c r="J165" s="4"/>
    </row>
    <row r="166" spans="1:10" ht="16.2" thickBot="1" x14ac:dyDescent="0.35">
      <c r="A166" s="20"/>
      <c r="B166" s="16"/>
      <c r="C166" s="10"/>
      <c r="D166" s="10"/>
      <c r="E166" s="10"/>
      <c r="F166" s="11"/>
      <c r="G166" s="12"/>
      <c r="H166" s="12" t="str">
        <f t="shared" si="5"/>
        <v/>
      </c>
      <c r="I166" s="12" t="str" cm="1">
        <f t="array" ref="I166">_xlfn.IFS(E166="Dividend", 0, AND(D166="Buy", E166="Fresh"), -H166, AND(D166="Sell", E166="Fresh"), H166, TRUE, "")</f>
        <v/>
      </c>
      <c r="J166" s="4"/>
    </row>
    <row r="167" spans="1:10" ht="16.2" thickBot="1" x14ac:dyDescent="0.35">
      <c r="A167" s="19"/>
      <c r="B167" s="15"/>
      <c r="C167" s="7"/>
      <c r="D167" s="7"/>
      <c r="E167" s="7"/>
      <c r="F167" s="8"/>
      <c r="G167" s="9"/>
      <c r="H167" s="9" t="str">
        <f t="shared" si="5"/>
        <v/>
      </c>
      <c r="I167" s="9" t="str" cm="1">
        <f t="array" ref="I167">_xlfn.IFS(E167="Dividend", 0, AND(D167="Buy", E167="Fresh"), -H167, AND(D167="Sell", E167="Fresh"), H167, TRUE, "")</f>
        <v/>
      </c>
      <c r="J167" s="4"/>
    </row>
    <row r="168" spans="1:10" ht="16.2" thickBot="1" x14ac:dyDescent="0.35">
      <c r="A168" s="20"/>
      <c r="B168" s="16"/>
      <c r="C168" s="10"/>
      <c r="D168" s="10"/>
      <c r="E168" s="10"/>
      <c r="F168" s="11"/>
      <c r="G168" s="12"/>
      <c r="H168" s="12" t="str">
        <f t="shared" si="5"/>
        <v/>
      </c>
      <c r="I168" s="12" t="str" cm="1">
        <f t="array" ref="I168">_xlfn.IFS(E168="Dividend", 0, AND(D168="Buy", E168="Fresh"), -H168, AND(D168="Sell", E168="Fresh"), H168, TRUE, "")</f>
        <v/>
      </c>
      <c r="J168" s="4"/>
    </row>
    <row r="169" spans="1:10" x14ac:dyDescent="0.3">
      <c r="A169" s="19"/>
      <c r="B169" s="15"/>
      <c r="C169" s="7"/>
      <c r="D169" s="7"/>
      <c r="E169" s="7"/>
      <c r="F169" s="8"/>
      <c r="G169" s="9"/>
      <c r="H169" s="9" t="str">
        <f t="shared" si="5"/>
        <v/>
      </c>
      <c r="I169" s="9" t="str" cm="1">
        <f t="array" ref="I169">_xlfn.IFS(E169="Dividend", 0, AND(D169="Buy", E169="Fresh"), -H169, AND(D169="Sell", E169="Fresh"), H169, TRUE, "")</f>
        <v/>
      </c>
      <c r="J169" s="4"/>
    </row>
  </sheetData>
  <dataValidations count="9">
    <dataValidation type="list" allowBlank="1" showInputMessage="1" showErrorMessage="1" sqref="D2:D169" xr:uid="{33C3F434-BDDF-40B2-8D97-AB76EB6B6CA9}">
      <formula1>"Buy,Sell"</formula1>
    </dataValidation>
    <dataValidation type="list" allowBlank="1" showInputMessage="1" showErrorMessage="1" sqref="E2:E169" xr:uid="{4830EAD4-B1E4-4DE6-8DEF-1BA392C5092C}">
      <formula1>"Fresh, Dividend"</formula1>
    </dataValidation>
    <dataValidation type="decimal" operator="greaterThanOrEqual" allowBlank="1" showInputMessage="1" showErrorMessage="1" sqref="G2:G169" xr:uid="{E84E245A-BB20-46E9-9735-7E9036C58AE2}">
      <formula1>0</formula1>
    </dataValidation>
    <dataValidation type="list" allowBlank="1" showInputMessage="1" showErrorMessage="1" sqref="J2:J169" xr:uid="{992DDB3C-A3BB-4F84-91DE-E1322AF8A0A5}">
      <formula1>"Dividend,Initial,IPO,Rebalance,SIP, Special Moment"</formula1>
    </dataValidation>
    <dataValidation operator="greaterThanOrEqual" allowBlank="1" showInputMessage="1" showErrorMessage="1" sqref="H2:H115 H117:H169 H116" xr:uid="{A45A2E63-0008-4480-9EC9-CE52333BF2DC}"/>
    <dataValidation type="list" allowBlank="1" showInputMessage="1" showErrorMessage="1" sqref="C2:C169" xr:uid="{6AAF858B-6B6C-47E8-A4D2-0ADEBB8C0238}">
      <formula1>"Mum,Mine"</formula1>
    </dataValidation>
    <dataValidation type="textLength" operator="lessThanOrEqual" allowBlank="1" showInputMessage="1" showErrorMessage="1" sqref="B2:B169" xr:uid="{8310077B-8273-4105-9221-487FE2E70BB5}">
      <formula1>6</formula1>
    </dataValidation>
    <dataValidation type="whole" operator="greaterThanOrEqual" allowBlank="1" showInputMessage="1" showErrorMessage="1" sqref="F1:F109 F111:F1048576" xr:uid="{B2B2F3F5-2010-4197-853A-6CAF74CF1FDE}">
      <formula1>1</formula1>
    </dataValidation>
    <dataValidation type="whole" operator="greaterThanOrEqual" allowBlank="1" showInputMessage="1" showErrorMessage="1" errorTitle="Minimum 1 whole unit required" error="Enter whole number more than 1." sqref="F110" xr:uid="{47EEB9EE-AC94-4B74-8BD8-B1213F23A443}">
      <formula1>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E3C19-DA34-42C7-B688-1A27D1AC08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Price Table</vt:lpstr>
      <vt:lpstr>Dim_Calendar</vt:lpstr>
      <vt:lpstr>Fact Dividends</vt:lpstr>
      <vt:lpstr>Fact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</dc:creator>
  <cp:lastModifiedBy>Brijesh Patel</cp:lastModifiedBy>
  <dcterms:created xsi:type="dcterms:W3CDTF">2026-05-27T08:05:38Z</dcterms:created>
  <dcterms:modified xsi:type="dcterms:W3CDTF">2026-05-29T07:25:48Z</dcterms:modified>
</cp:coreProperties>
</file>